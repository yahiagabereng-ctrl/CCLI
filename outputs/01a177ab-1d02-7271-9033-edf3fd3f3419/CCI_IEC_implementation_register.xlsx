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ab251d660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3b7f8c8b7404fd5"/>
    <x:sheet xmlns:r="http://schemas.openxmlformats.org/officeDocument/2006/relationships" name="SDL 4-1" sheetId="2" r:id="R613431d533104219"/>
    <x:sheet xmlns:r="http://schemas.openxmlformats.org/officeDocument/2006/relationships" name="Components 4-2" sheetId="3" r:id="R01701f0a15304deb"/>
    <x:sheet xmlns:r="http://schemas.openxmlformats.org/officeDocument/2006/relationships" name="TLS 2023" sheetId="4" r:id="Rb4e3e5041a2347d3"/>
    <x:sheet xmlns:r="http://schemas.openxmlformats.org/officeDocument/2006/relationships" name="Scope decisions" sheetId="5" r:id="R789e41770b6e4164"/>
    <x:sheet xmlns:r="http://schemas.openxmlformats.org/officeDocument/2006/relationships" name="Source coverage" sheetId="6" r:id="Rb5537bf56e84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243447"/>
      <x:name val="Arial"/>
    </x:font>
    <x:font>
      <x:i/>
      <x:sz val="10"/>
      <x:color rgb="FF243447"/>
      <x:name val="Arial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8"/>
      </x:patternFill>
    </x:fill>
    <x:fill>
      <x:patternFill patternType="solid">
        <x:fgColor rgb="FFFFF6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A4262C"/>
      </x:font>
      <x:fill>
        <x:patternFill patternType="solid">
          <x:bgColor rgb="FFFCE8E6"/>
        </x:patternFill>
      </x:fill>
    </x:dxf>
    <x:dxf>
      <x:font>
        <x:color rgb="FF775900"/>
      </x:font>
      <x:fill>
        <x:patternFill patternType="solid">
          <x:bgColor rgb="FFFFF1C2"/>
        </x:patternFill>
      </x:fill>
    </x:dxf>
    <x:dxf>
      <x:font>
        <x:b/>
        <x:color rgb="FFA4262C"/>
      </x:font>
      <x:fill>
        <x:patternFill patternType="solid">
          <x:bgColor rgb="FFFCE8E6"/>
        </x:patternFill>
      </x:fill>
    </x:dxf>
    <x:dxf>
      <x:font>
        <x:color rgb="FF775900"/>
      </x:font>
      <x:fill>
        <x:patternFill patternType="solid">
          <x:bgColor rgb="FFFFF1C2"/>
        </x:patternFill>
      </x:fill>
    </x:dxf>
    <x:dxf>
      <x:font>
        <x:b/>
        <x:color rgb="FFA4262C"/>
      </x:font>
      <x:fill>
        <x:patternFill patternType="solid">
          <x:bgColor rgb="FFFCE8E6"/>
        </x:patternFill>
      </x:fill>
    </x:dxf>
    <x:dxf>
      <x:font>
        <x:color rgb="FF775900"/>
      </x:font>
      <x:fill>
        <x:patternFill patternType="solid">
          <x:bgColor rgb="FFFFF1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d6148803545cd" /><Relationship Type="http://schemas.openxmlformats.org/officeDocument/2006/relationships/theme" Target="/xl/theme/theme1.xml" Id="Rc0ccc0c6356e40d2" /><Relationship Type="http://schemas.openxmlformats.org/officeDocument/2006/relationships/sharedStrings" Target="/xl/sharedStrings.xml" Id="R602d7903277942a3" /><Relationship Type="http://schemas.openxmlformats.org/officeDocument/2006/relationships/worksheet" Target="/xl/worksheets/sheet1.xml" Id="R93b7f8c8b7404fd5" /><Relationship Type="http://schemas.openxmlformats.org/officeDocument/2006/relationships/worksheet" Target="/xl/worksheets/sheet2.xml" Id="R613431d533104219" /><Relationship Type="http://schemas.openxmlformats.org/officeDocument/2006/relationships/worksheet" Target="/xl/worksheets/sheet3.xml" Id="R01701f0a15304deb" /><Relationship Type="http://schemas.openxmlformats.org/officeDocument/2006/relationships/worksheet" Target="/xl/worksheets/sheet4.xml" Id="Rb4e3e5041a2347d3" /><Relationship Type="http://schemas.openxmlformats.org/officeDocument/2006/relationships/worksheet" Target="/xl/worksheets/sheet5.xml" Id="R789e41770b6e4164" /><Relationship Type="http://schemas.openxmlformats.org/officeDocument/2006/relationships/worksheet" Target="/xl/worksheets/sheet6.xml" Id="Rb5537bf56e844db9" /></Relationships>
</file>

<file path=xl/tables/table1.xml><?xml version="1.0" encoding="utf-8"?>
<x:table xmlns:x="http://schemas.openxmlformats.org/spreadsheetml/2006/main" id="1" name="SDL41Tasks" displayName="SDL41Tasks" ref="A6:W145" headerRowCount="1" totalsRowCount="0" totalsRowShown="0">
  <x:autoFilter ref="A6:W145"/>
  <x:tableColumns count="23">
    <x:tableColumn id="1" name="Task ID"/>
    <x:tableColumn id="2" name="Requirement reference"/>
    <x:tableColumn id="3" name="Topic"/>
    <x:tableColumn id="4" name="Required implementation / evidence"/>
    <x:tableColumn id="5" name="Normative class"/>
    <x:tableColumn id="6" name="Applicability condition"/>
    <x:tableColumn id="7" name="Min FR SL-C"/>
    <x:tableColumn id="8" name="Source clause / table"/>
    <x:tableColumn id="9" name="PDF pages"/>
    <x:tableColumn id="10" name="Printed pages"/>
    <x:tableColumn id="11" name="Code / architecture / process location"/>
    <x:tableColumn id="12" name="Suggested responsible role"/>
    <x:tableColumn id="13" name="Merged source evidence / gap"/>
    <x:tableColumn id="14" name="GitHub main evidence / gap"/>
    <x:tableColumn id="15" name="Acceptance verification"/>
    <x:tableColumn id="16" name="Assigned person"/>
    <x:tableColumn id="17" name="Delivery status"/>
    <x:tableColumn id="18" name="Evidence record / link"/>
    <x:tableColumn id="19" name="Reviewer"/>
    <x:tableColumn id="20" name="Applicability decision / reason"/>
    <x:tableColumn id="21" name="Closure check"/>
    <x:tableColumn id="22" name="Source file"/>
    <x:tableColumn id="23" name="Interpretation / scan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onents42Tasks" displayName="Components42Tasks" ref="A6:W179" headerRowCount="1" totalsRowCount="0" totalsRowShown="0">
  <x:autoFilter ref="A6:W179"/>
  <x:tableColumns count="23">
    <x:tableColumn id="1" name="Task ID"/>
    <x:tableColumn id="2" name="Requirement reference"/>
    <x:tableColumn id="3" name="Topic"/>
    <x:tableColumn id="4" name="Required implementation / evidence"/>
    <x:tableColumn id="5" name="Normative class"/>
    <x:tableColumn id="6" name="Applicability condition"/>
    <x:tableColumn id="7" name="Min FR SL-C"/>
    <x:tableColumn id="8" name="Source clause / table"/>
    <x:tableColumn id="9" name="PDF pages"/>
    <x:tableColumn id="10" name="Printed pages"/>
    <x:tableColumn id="11" name="Code / architecture / process location"/>
    <x:tableColumn id="12" name="Suggested responsible role"/>
    <x:tableColumn id="13" name="Merged source evidence / gap"/>
    <x:tableColumn id="14" name="GitHub main evidence / gap"/>
    <x:tableColumn id="15" name="Acceptance verification"/>
    <x:tableColumn id="16" name="Assigned person"/>
    <x:tableColumn id="17" name="Delivery status"/>
    <x:tableColumn id="18" name="Evidence record / link"/>
    <x:tableColumn id="19" name="Reviewer"/>
    <x:tableColumn id="20" name="Applicability decision / reason"/>
    <x:tableColumn id="21" name="Closure check"/>
    <x:tableColumn id="22" name="Source file"/>
    <x:tableColumn id="23" name="Interpretation / scan not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LS2023Tasks" displayName="TLS2023Tasks" ref="A6:W225" headerRowCount="1" totalsRowCount="0" totalsRowShown="0">
  <x:autoFilter ref="A6:W225"/>
  <x:tableColumns count="23">
    <x:tableColumn id="1" name="Task ID"/>
    <x:tableColumn id="2" name="Requirement reference"/>
    <x:tableColumn id="3" name="Topic"/>
    <x:tableColumn id="4" name="Required implementation / evidence"/>
    <x:tableColumn id="5" name="Normative class"/>
    <x:tableColumn id="6" name="Applicability condition"/>
    <x:tableColumn id="7" name="Min FR SL-C"/>
    <x:tableColumn id="8" name="Source clause / table"/>
    <x:tableColumn id="9" name="PDF pages"/>
    <x:tableColumn id="10" name="Printed pages"/>
    <x:tableColumn id="11" name="Code / architecture / process location"/>
    <x:tableColumn id="12" name="Suggested responsible role"/>
    <x:tableColumn id="13" name="Merged source evidence / gap"/>
    <x:tableColumn id="14" name="GitHub main evidence / gap"/>
    <x:tableColumn id="15" name="Acceptance verification"/>
    <x:tableColumn id="16" name="Assigned person"/>
    <x:tableColumn id="17" name="Delivery status"/>
    <x:tableColumn id="18" name="Evidence record / link"/>
    <x:tableColumn id="19" name="Reviewer"/>
    <x:tableColumn id="20" name="Applicability decision / reason"/>
    <x:tableColumn id="21" name="Closure check"/>
    <x:tableColumn id="22" name="Source file"/>
    <x:tableColumn id="23" name="Interpretation / scan note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copeDecisions" displayName="ScopeDecisions" ref="A6:F18" headerRowCount="1" totalsRowCount="0" totalsRowShown="0">
  <x:tableColumns count="6">
    <x:tableColumn id="1" name="Decision ID"/>
    <x:tableColumn id="2" name="Topic"/>
    <x:tableColumn id="3" name="Decision / dependency"/>
    <x:tableColumn id="4" name="Responsible role"/>
    <x:tableColumn id="5" name="State"/>
    <x:tableColumn id="6" name="Approved decision / evidence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SourceCoverage" displayName="SourceCoverage" ref="A6:G123" headerRowCount="1" totalsRowCount="0" totalsRowShown="0">
  <x:tableColumns count="7">
    <x:tableColumn id="1" name="Standard"/>
    <x:tableColumn id="2" name="PDF page"/>
    <x:tableColumn id="3" name="Printed page"/>
    <x:tableColumn id="4" name="Mapped requirement families"/>
    <x:tableColumn id="5" name="Modal words detected"/>
    <x:tableColumn id="6" name="Extraction / recovery"/>
    <x:tableColumn id="7" name="Source fil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bdbe60ce2a49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f1f7ec90c247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40181566304b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6cc12d0a5741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9ad4ca04c648e7" /></Relationships>
</file>

<file path=xl/worksheets/sheet1.xml><?xml version="1.0" encoding="utf-8"?>
<x:worksheet xmlns:x="http://schemas.openxmlformats.org/spreadsheetml/2006/main">
  <x:sheetPr>
    <x:tabColor rgb="FF243E58"/>
  </x:sheetPr>
  <x:sheetViews>
    <x:sheetView showGridLines="0" workbookViewId="0"/>
  </x:sheetViews>
  <x:sheetFormatPr defaultRowHeight="15"/>
  <x:cols>
    <x:col min="1" max="1" width="37" hidden="0" customWidth="1"/>
    <x:col min="2" max="2" width="13" hidden="0" customWidth="1"/>
    <x:col min="3" max="3" width="16" hidden="0" customWidth="1"/>
    <x:col min="4" max="4" width="24" hidden="0" customWidth="1"/>
    <x:col min="5" max="5" width="17" hidden="0" customWidth="1"/>
    <x:col min="6" max="6" width="26" hidden="0" customWidth="1"/>
    <x:col min="7" max="7" width="22" hidden="0" customWidth="1"/>
  </x:cols>
  <x:sheetData>
    <x:row r="2">
      <x:c r="A2" s="1" t="str">
        <x:v>CCI IEC implementation register</x:v>
      </x:c>
    </x:row>
    <x:row r="4">
      <x:c r="A4" s="2" t="str">
        <x:v>26 October 2026 | Three supplied standards | Source clauses and applicability retained</x:v>
      </x:c>
    </x:row>
    <x:row r="6" ht="34" customHeight="1">
      <x:c r="A6" s="9" t="str">
        <x:v>Standard</x:v>
      </x:c>
      <x:c r="B6" s="9" t="str">
        <x:v>Tasks</x:v>
      </x:c>
      <x:c r="C6" s="9" t="str">
        <x:v>Mandatory</x:v>
      </x:c>
      <x:c r="D6" s="9" t="str">
        <x:v>Conditional mandatory</x:v>
      </x:c>
      <x:c r="E6" s="9" t="str">
        <x:v>Prohibited</x:v>
      </x:c>
      <x:c r="F6" s="9" t="str">
        <x:v>Optional / recommended</x:v>
      </x:c>
      <x:c r="G6" s="9" t="str">
        <x:v>Closed recorded</x:v>
      </x:c>
    </x:row>
    <x:row r="7" ht="30" customHeight="1">
      <x:c r="A7" s="3" t="str">
        <x:v>IEC 62443-4-1:2018</x:v>
      </x:c>
      <x:c r="B7" s="18" t="n">
        <x:f>COUNTA('SDL 4-1'!A7:A145)</x:f>
        <x:v>139</x:v>
      </x:c>
      <x:c r="C7" s="18" t="n">
        <x:f>COUNTIFS('SDL 4-1'!E7:E145,"Mandatory")</x:f>
        <x:v>139</x:v>
      </x:c>
      <x:c r="D7" s="18" t="n">
        <x:f>COUNTIFS('SDL 4-1'!E7:E145,"Conditional mandatory")</x:f>
        <x:v>0</x:v>
      </x:c>
      <x:c r="E7" s="18" t="n">
        <x:f>COUNTIFS('SDL 4-1'!E7:E145,"Prohibited")</x:f>
        <x:v>0</x:v>
      </x:c>
      <x:c r="F7" s="18" t="n">
        <x:f>COUNTIFS('SDL 4-1'!E7:E145,"Optional")+COUNTIFS('SDL 4-1'!E7:E145,"Conditional optional")+COUNTIFS('SDL 4-1'!E7:E145,"Recommendation / optional")</x:f>
        <x:v>0</x:v>
      </x:c>
      <x:c r="G7" s="18" t="n">
        <x:f>COUNTIFS('SDL 4-1'!U7:U145,"Closed recorded")</x:f>
        <x:v>0</x:v>
      </x:c>
    </x:row>
    <x:row r="8" ht="30" customHeight="1">
      <x:c r="A8" s="3" t="str">
        <x:v>IEC 62443-4-2:2019</x:v>
      </x:c>
      <x:c r="B8" s="18" t="n">
        <x:f>COUNTA('Components 4-2'!A7:A179)</x:f>
        <x:v>173</x:v>
      </x:c>
      <x:c r="C8" s="18" t="n">
        <x:f>COUNTIFS('Components 4-2'!E7:E179,"Mandatory")</x:f>
        <x:v>74</x:v>
      </x:c>
      <x:c r="D8" s="18" t="n">
        <x:f>COUNTIFS('Components 4-2'!E7:E179,"Conditional mandatory")</x:f>
        <x:v>99</x:v>
      </x:c>
      <x:c r="E8" s="18" t="n">
        <x:f>COUNTIFS('Components 4-2'!E7:E179,"Prohibited")</x:f>
        <x:v>0</x:v>
      </x:c>
      <x:c r="F8" s="18" t="n">
        <x:f>COUNTIFS('Components 4-2'!E7:E179,"Optional")+COUNTIFS('Components 4-2'!E7:E179,"Conditional optional")+COUNTIFS('Components 4-2'!E7:E179,"Recommendation / optional")</x:f>
        <x:v>0</x:v>
      </x:c>
      <x:c r="G8" s="18" t="n">
        <x:f>COUNTIFS('Components 4-2'!U7:U179,"Closed recorded")</x:f>
        <x:v>0</x:v>
      </x:c>
    </x:row>
    <x:row r="9" ht="30" customHeight="1">
      <x:c r="A9" s="3" t="str">
        <x:v>EN IEC 62351-3:2023</x:v>
      </x:c>
      <x:c r="B9" s="18" t="n">
        <x:f>COUNTA('TLS 2023'!A7:A225)</x:f>
        <x:v>219</x:v>
      </x:c>
      <x:c r="C9" s="18" t="n">
        <x:f>COUNTIFS('TLS 2023'!E7:E225,"Mandatory")</x:f>
        <x:v>83</x:v>
      </x:c>
      <x:c r="D9" s="18" t="n">
        <x:f>COUNTIFS('TLS 2023'!E7:E225,"Conditional mandatory")</x:f>
        <x:v>80</x:v>
      </x:c>
      <x:c r="E9" s="18" t="n">
        <x:f>COUNTIFS('TLS 2023'!E7:E225,"Prohibited")</x:f>
        <x:v>14</x:v>
      </x:c>
      <x:c r="F9" s="18" t="n">
        <x:f>COUNTIFS('TLS 2023'!E7:E225,"Optional")+COUNTIFS('TLS 2023'!E7:E225,"Conditional optional")+COUNTIFS('TLS 2023'!E7:E225,"Recommendation / optional")</x:f>
        <x:v>42</x:v>
      </x:c>
      <x:c r="G9" s="18" t="n">
        <x:f>COUNTIFS('TLS 2023'!U7:U225,"Closed recorded")</x:f>
        <x:v>0</x:v>
      </x:c>
    </x:row>
    <x:row r="10" ht="30" customHeight="1">
      <x:c r="A10" s="15" t="str">
        <x:v>Total</x:v>
      </x:c>
      <x:c r="B10" s="19" t="n">
        <x:f>SUM(B7:B9)</x:f>
        <x:v>531</x:v>
      </x:c>
      <x:c r="C10" s="19" t="n">
        <x:f>SUM(C7:C9)</x:f>
        <x:v>296</x:v>
      </x:c>
      <x:c r="D10" s="19" t="n">
        <x:f>SUM(D7:D9)</x:f>
        <x:v>179</x:v>
      </x:c>
      <x:c r="E10" s="19" t="n">
        <x:f>SUM(E7:E9)</x:f>
        <x:v>14</x:v>
      </x:c>
      <x:c r="F10" s="19" t="n">
        <x:f>SUM(F7:F9)</x:f>
        <x:v>42</x:v>
      </x:c>
      <x:c r="G10" s="19" t="n">
        <x:f>SUM(G7:G9)</x:f>
        <x:v>0</x:v>
      </x:c>
    </x:row>
    <x:row r="11">
      <x:c r="A11" s="3"/>
      <x:c r="B11" s="3"/>
      <x:c r="C11" s="3"/>
      <x:c r="D11" s="3"/>
      <x:c r="E11" s="3"/>
      <x:c r="F11" s="3"/>
      <x:c r="G11" s="3"/>
    </x:row>
    <x:row r="12">
      <x:c r="A12" s="3"/>
      <x:c r="B12" s="3"/>
      <x:c r="C12" s="3"/>
      <x:c r="D12" s="3"/>
      <x:c r="E12" s="3"/>
      <x:c r="F12" s="3"/>
      <x:c r="G12" s="3"/>
    </x:row>
    <x:row r="13" ht="25" customHeight="1">
      <x:c r="A13" s="17" t="str">
        <x:v>Use the three task sheets to plan implementation and retain acceptance evidence.</x:v>
      </x:c>
      <x:c r="B13" s="3"/>
      <x:c r="C13" s="3"/>
      <x:c r="D13" s="3"/>
      <x:c r="E13" s="3"/>
      <x:c r="F13" s="3"/>
      <x:c r="G13" s="3"/>
    </x:row>
    <x:row r="14" ht="25" customHeight="1">
      <x:c r="A14" s="17" t="str">
        <x:v>Mandatory: implement or demonstrate existing behavior when the stated condition applies.</x:v>
      </x:c>
      <x:c r="B14" s="3"/>
      <x:c r="C14" s="3"/>
      <x:c r="D14" s="3"/>
      <x:c r="E14" s="3"/>
      <x:c r="F14" s="3"/>
      <x:c r="G14" s="3"/>
    </x:row>
    <x:row r="15" ht="25" customHeight="1">
      <x:c r="A15" s="17" t="str">
        <x:v>Conditional mandatory: required for the selected type, FR security level, role or feature.</x:v>
      </x:c>
      <x:c r="B15" s="3"/>
      <x:c r="C15" s="3"/>
      <x:c r="D15" s="3"/>
      <x:c r="E15" s="3"/>
      <x:c r="F15" s="3"/>
      <x:c r="G15" s="3"/>
    </x:row>
    <x:row r="16" ht="25" customHeight="1">
      <x:c r="A16" s="17" t="str">
        <x:v>Prohibited: implement rejection or default-disable safeguards and prove them with negative tests.</x:v>
      </x:c>
      <x:c r="B16" s="3"/>
      <x:c r="C16" s="3"/>
      <x:c r="D16" s="3"/>
      <x:c r="E16" s="3"/>
      <x:c r="F16" s="3"/>
      <x:c r="G16" s="3"/>
    </x:row>
    <x:row r="17" ht="25" customHeight="1">
      <x:c r="A17" s="17" t="str">
        <x:v>Optional/recommended: retained for profile decisions; not unconditional obligations.</x:v>
      </x:c>
      <x:c r="B17" s="3"/>
      <x:c r="C17" s="3"/>
      <x:c r="D17" s="3"/>
      <x:c r="E17" s="3"/>
      <x:c r="F17" s="3"/>
      <x:c r="G17" s="3"/>
    </x:row>
    <x:row r="18" ht="25" customHeight="1">
      <x:c r="A18" s="17" t="str">
        <x:v>Edit yellow fields: assignee, status, evidence, reviewer and applicability decision.</x:v>
      </x:c>
      <x:c r="B18" s="3"/>
      <x:c r="C18" s="3"/>
      <x:c r="D18" s="3"/>
      <x:c r="E18" s="3"/>
      <x:c r="F18" s="3"/>
      <x:c r="G18" s="3"/>
    </x:row>
    <x:row r="19" ht="25" customHeight="1">
      <x:c r="A19" s="17" t="str">
        <x:v>Closed requires evidence and a reviewer. The formula checks records, not conformance.</x:v>
      </x:c>
      <x:c r="B19" s="3"/>
      <x:c r="C19" s="3"/>
      <x:c r="D19" s="3"/>
      <x:c r="E19" s="3"/>
      <x:c r="F19" s="3"/>
      <x:c r="G19" s="3"/>
    </x:row>
    <x:row r="20" ht="25" customHeight="1">
      <x:c r="A20" s="17" t="str">
        <x:v>All SL1-4 enhancements are inventoried. Earlier SL2 is a proposal, not an approved claim.</x:v>
      </x:c>
      <x:c r="B20" s="3"/>
      <x:c r="C20" s="3"/>
      <x:c r="D20" s="3"/>
      <x:c r="E20" s="3"/>
      <x:c r="F20" s="3"/>
      <x:c r="G20" s="3"/>
    </x:row>
    <x:row r="21" ht="25" customHeight="1">
      <x:c r="A21" s="17" t="str">
        <x:v>TLS1.2 is required. TLS1.3 is optional overall; selecting it activates its profile requirements.</x:v>
      </x:c>
      <x:c r="B21" s="3"/>
      <x:c r="C21" s="3"/>
      <x:c r="D21" s="3"/>
      <x:c r="E21" s="3"/>
      <x:c r="F21" s="3"/>
      <x:c r="G21" s="3"/>
    </x:row>
    <x:row r="22" ht="25" customHeight="1">
      <x:c r="A22" s="17" t="str">
        <x:v>PDF page is one-based file position. Printed page is the number within the standard.</x:v>
      </x:c>
      <x:c r="B22" s="3"/>
      <x:c r="C22" s="3"/>
      <x:c r="D22" s="3"/>
      <x:c r="E22" s="3"/>
      <x:c r="F22" s="3"/>
      <x:c r="G22" s="3"/>
    </x:row>
    <x:row r="23" ht="25" customHeight="1">
      <x:c r="A23" s="17" t="str">
        <x:v>Merged source and GitHub main e6d6ce0 are separate baselines. Freeze one release for testing.</x:v>
      </x:c>
      <x:c r="B23" s="3"/>
      <x:c r="C23" s="3"/>
      <x:c r="D23" s="3"/>
      <x:c r="E23" s="3"/>
      <x:c r="F23" s="3"/>
      <x:c r="G23" s="3"/>
    </x:row>
    <x:row r="24" ht="25" customHeight="1">
      <x:c r="A24" s="17" t="str">
        <x:v>Blank English pages recovered from French; interpretation issues appear in Scope decisions.</x:v>
      </x:c>
      <x:c r="B24" s="3"/>
      <x:c r="C24" s="3"/>
      <x:c r="D24" s="3"/>
      <x:c r="E24" s="3"/>
      <x:c r="F24" s="3"/>
      <x:c r="G24" s="3"/>
    </x:row>
    <x:row r="25" ht="25" customHeight="1">
      <x:c r="A25" s="17" t="str">
        <x:v>Expand applicable referenced RFC/IEC requirements before implementation signoff.</x:v>
      </x:c>
      <x:c r="B25" s="3"/>
      <x:c r="C25" s="3"/>
      <x:c r="D25" s="3"/>
      <x:c r="E25" s="3"/>
      <x:c r="F25" s="3"/>
      <x:c r="G25" s="3"/>
    </x:row>
    <x:row r="26" ht="25" customHeight="1">
      <x:c r="A26" s="17" t="str">
        <x:v>Requirement wording is an engineering paraphrase. Consult the cited source for normative wording.</x:v>
      </x:c>
      <x:c r="B26" s="3"/>
      <x:c r="C26" s="3"/>
      <x:c r="D26" s="3"/>
      <x:c r="E26" s="3"/>
      <x:c r="F26" s="3"/>
      <x:c r="G26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1" hidden="0" customWidth="1"/>
    <x:col min="4" max="4" width="74" hidden="0" customWidth="1"/>
    <x:col min="5" max="5" width="27" hidden="0" customWidth="1"/>
    <x:col min="6" max="6" width="57" hidden="0" customWidth="1"/>
    <x:col min="7" max="7" width="12" hidden="0" customWidth="1"/>
    <x:col min="8" max="8" width="28" hidden="0" customWidth="1"/>
    <x:col min="9" max="9" width="15" hidden="0" customWidth="1"/>
    <x:col min="10" max="10" width="15" hidden="0" customWidth="1"/>
    <x:col min="11" max="11" width="78" hidden="0" customWidth="1"/>
    <x:col min="12" max="12" width="37" hidden="0" customWidth="1"/>
    <x:col min="13" max="13" width="72" hidden="0" customWidth="1"/>
    <x:col min="14" max="14" width="72" hidden="0" customWidth="1"/>
    <x:col min="15" max="15" width="90" hidden="0" customWidth="1"/>
    <x:col min="16" max="16" width="28" hidden="0" customWidth="1"/>
    <x:col min="17" max="17" width="23" hidden="0" customWidth="1"/>
    <x:col min="18" max="18" width="65" hidden="0" customWidth="1"/>
    <x:col min="19" max="19" width="28" hidden="0" customWidth="1"/>
    <x:col min="20" max="20" width="65" hidden="0" customWidth="1"/>
    <x:col min="21" max="21" width="31" hidden="0" customWidth="1"/>
    <x:col min="22" max="22" width="65" hidden="0" customWidth="1"/>
    <x:col min="23" max="23" width="90" hidden="0" customWidth="1"/>
  </x:cols>
  <x:sheetData>
    <x:row r="2">
      <x:c r="A2" s="1" t="str">
        <x:v>IEC 62443-4-1:2018 implementation tasks</x:v>
      </x:c>
    </x:row>
    <x:row r="4">
      <x:c r="A4" s="2" t="str">
        <x:v>Filter Normative class and Applicability condition. All tasks remain open until evidence and review are recorded.</x:v>
      </x:c>
    </x:row>
    <x:row r="6" ht="34" customHeight="1">
      <x:c r="A6" s="9" t="str">
        <x:v>Task ID</x:v>
      </x:c>
      <x:c r="B6" s="9" t="str">
        <x:v>Requirement reference</x:v>
      </x:c>
      <x:c r="C6" s="9" t="str">
        <x:v>Topic</x:v>
      </x:c>
      <x:c r="D6" s="9" t="str">
        <x:v>Required implementation / evidence</x:v>
      </x:c>
      <x:c r="E6" s="9" t="str">
        <x:v>Normative class</x:v>
      </x:c>
      <x:c r="F6" s="9" t="str">
        <x:v>Applicability condition</x:v>
      </x:c>
      <x:c r="G6" s="9" t="str">
        <x:v>Min FR SL-C</x:v>
      </x:c>
      <x:c r="H6" s="9" t="str">
        <x:v>Source clause / table</x:v>
      </x:c>
      <x:c r="I6" s="9" t="str">
        <x:v>PDF pages</x:v>
      </x:c>
      <x:c r="J6" s="9" t="str">
        <x:v>Printed pages</x:v>
      </x:c>
      <x:c r="K6" s="9" t="str">
        <x:v>Code / architecture / process location</x:v>
      </x:c>
      <x:c r="L6" s="9" t="str">
        <x:v>Suggested responsible role</x:v>
      </x:c>
      <x:c r="M6" s="9" t="str">
        <x:v>Merged source evidence / gap</x:v>
      </x:c>
      <x:c r="N6" s="9" t="str">
        <x:v>GitHub main evidence / gap</x:v>
      </x:c>
      <x:c r="O6" s="9" t="str">
        <x:v>Acceptance verification</x:v>
      </x:c>
      <x:c r="P6" s="9" t="str">
        <x:v>Assigned person</x:v>
      </x:c>
      <x:c r="Q6" s="9" t="str">
        <x:v>Delivery status</x:v>
      </x:c>
      <x:c r="R6" s="9" t="str">
        <x:v>Evidence record / link</x:v>
      </x:c>
      <x:c r="S6" s="9" t="str">
        <x:v>Reviewer</x:v>
      </x:c>
      <x:c r="T6" s="9" t="str">
        <x:v>Applicability decision / reason</x:v>
      </x:c>
      <x:c r="U6" s="9" t="str">
        <x:v>Closure check</x:v>
      </x:c>
      <x:c r="V6" s="9" t="str">
        <x:v>Source file</x:v>
      </x:c>
      <x:c r="W6" s="9" t="str">
        <x:v>Interpretation / scan notes</x:v>
      </x:c>
    </x:row>
    <x:row r="7" ht="36" customHeight="1">
      <x:c r="A7" s="5" t="str">
        <x:v>SDL-SM-1-01</x:v>
      </x:c>
      <x:c r="B7" s="5" t="str">
        <x:v>SM-1</x:v>
      </x:c>
      <x:c r="C7" s="5" t="str">
        <x:v>Development process</x:v>
      </x:c>
      <x:c r="D7" s="5" t="str">
        <x:v>Document and enforce configuration/change control with audit records</x:v>
      </x:c>
      <x:c r="E7" s="5" t="str">
        <x:v>Mandatory</x:v>
      </x:c>
      <x:c r="F7" s="5" t="str">
        <x:v>In-scope product</x:v>
      </x:c>
      <x:c r="G7" s="5" t="str"/>
      <x:c r="H7" s="5" t="str">
        <x:v>5.2.1</x:v>
      </x:c>
      <x:c r="I7" s="5" t="str">
        <x:v>23</x:v>
      </x:c>
      <x:c r="J7" s="5" t="str">
        <x:v>21</x:v>
      </x:c>
      <x:c r="K7" s="5" t="str">
        <x:v>Controlled SDL processes, roles, training, supplier risk, issue and release records; see output/IEC_security_review_2026-10-26.md</x:v>
      </x:c>
      <x:c r="L7" s="5" t="str">
        <x:v>HiTEKS product/security lead</x:v>
      </x:c>
      <x:c r="M7" s="5" t="str">
        <x:v>Not demonstrated</x:v>
      </x:c>
      <x:c r="N7" s="5" t="str">
        <x:v>Not demonstrated</x:v>
      </x:c>
      <x:c r="O7" s="5" t="str">
        <x:v>Approved procedure and executed release records, with named reviewers and disposition of findings. Verify: Document and enforce configuration/change control with audit records.</x:v>
      </x:c>
      <x:c r="P7" s="10" t="str"/>
      <x:c r="Q7" s="10" t="str">
        <x:v>Open</x:v>
      </x:c>
      <x:c r="R7" s="10" t="str"/>
      <x:c r="S7" s="10" t="str"/>
      <x:c r="T7" s="10" t="str"/>
      <x:c r="U7" s="5" t="str">
        <x:f>IF(Q7="Closed",IF(AND(R7&lt;&gt;"",S7&lt;&gt;""),"Closed recorded","Missing evidence/reviewer"),IF(Q7="N/A approved",IF(AND(T7&lt;&gt;"",S7&lt;&gt;""),"N/A recorded","Missing applicability approval"),"Open"))</x:f>
        <x:v>Open</x:v>
      </x:c>
      <x:c r="V7" s="5" t="str">
        <x:v>Normativa/IEC 62443-4-1 2018.pdf</x:v>
      </x:c>
      <x:c r="W7" s="5" t="str"/>
    </x:row>
    <x:row r="8" ht="36" customHeight="1">
      <x:c r="A8" s="5" t="str">
        <x:v>SDL-SM-1-02</x:v>
      </x:c>
      <x:c r="B8" s="5" t="str">
        <x:v>SM-1</x:v>
      </x:c>
      <x:c r="C8" s="5" t="str">
        <x:v>Development process</x:v>
      </x:c>
      <x:c r="D8" s="5" t="str">
        <x:v>Maintain product description and traceable requirements</x:v>
      </x:c>
      <x:c r="E8" s="5" t="str">
        <x:v>Mandatory</x:v>
      </x:c>
      <x:c r="F8" s="5" t="str">
        <x:v>In-scope product</x:v>
      </x:c>
      <x:c r="G8" s="5" t="str"/>
      <x:c r="H8" s="5" t="str">
        <x:v>5.2.1</x:v>
      </x:c>
      <x:c r="I8" s="5" t="str">
        <x:v>23</x:v>
      </x:c>
      <x:c r="J8" s="5" t="str">
        <x:v>21</x:v>
      </x:c>
      <x:c r="K8" s="5" t="str">
        <x:v>Controlled SDL processes, roles, training, supplier risk, issue and release records; see output/IEC_security_review_2026-10-26.md</x:v>
      </x:c>
      <x:c r="L8" s="5" t="str">
        <x:v>HiTEKS product/security lead</x:v>
      </x:c>
      <x:c r="M8" s="5" t="str">
        <x:v>Not demonstrated</x:v>
      </x:c>
      <x:c r="N8" s="5" t="str">
        <x:v>Not demonstrated</x:v>
      </x:c>
      <x:c r="O8" s="5" t="str">
        <x:v>Approved procedure and executed release records, with named reviewers and disposition of findings. Verify: Maintain product description and traceable requirements.</x:v>
      </x:c>
      <x:c r="P8" s="10" t="str"/>
      <x:c r="Q8" s="10" t="str">
        <x:v>Open</x:v>
      </x:c>
      <x:c r="R8" s="10" t="str"/>
      <x:c r="S8" s="10" t="str"/>
      <x:c r="T8" s="10" t="str"/>
      <x:c r="U8" s="5" t="str">
        <x:f>IF(Q8="Closed",IF(AND(R8&lt;&gt;"",S8&lt;&gt;""),"Closed recorded","Missing evidence/reviewer"),IF(Q8="N/A approved",IF(AND(T8&lt;&gt;"",S8&lt;&gt;""),"N/A recorded","Missing applicability approval"),"Open"))</x:f>
        <x:v>Open</x:v>
      </x:c>
      <x:c r="V8" s="5" t="str">
        <x:v>Normativa/IEC 62443-4-1 2018.pdf</x:v>
      </x:c>
      <x:c r="W8" s="5" t="str"/>
    </x:row>
    <x:row r="9" ht="36" customHeight="1">
      <x:c r="A9" s="5" t="str">
        <x:v>SDL-SM-1-03</x:v>
      </x:c>
      <x:c r="B9" s="5" t="str">
        <x:v>SM-1</x:v>
      </x:c>
      <x:c r="C9" s="5" t="str">
        <x:v>Development process</x:v>
      </x:c>
      <x:c r="D9" s="5" t="str">
        <x:v>Use defined hardware/software design and implementation practices</x:v>
      </x:c>
      <x:c r="E9" s="5" t="str">
        <x:v>Mandatory</x:v>
      </x:c>
      <x:c r="F9" s="5" t="str">
        <x:v>In-scope product</x:v>
      </x:c>
      <x:c r="G9" s="5" t="str"/>
      <x:c r="H9" s="5" t="str">
        <x:v>5.2.1</x:v>
      </x:c>
      <x:c r="I9" s="5" t="str">
        <x:v>23</x:v>
      </x:c>
      <x:c r="J9" s="5" t="str">
        <x:v>21</x:v>
      </x:c>
      <x:c r="K9" s="5" t="str">
        <x:v>Controlled SDL processes, roles, training, supplier risk, issue and release records; see output/IEC_security_review_2026-10-26.md</x:v>
      </x:c>
      <x:c r="L9" s="5" t="str">
        <x:v>HiTEKS product/security lead</x:v>
      </x:c>
      <x:c r="M9" s="5" t="str">
        <x:v>Not demonstrated</x:v>
      </x:c>
      <x:c r="N9" s="5" t="str">
        <x:v>Not demonstrated</x:v>
      </x:c>
      <x:c r="O9" s="5" t="str">
        <x:v>Approved procedure and executed release records, with named reviewers and disposition of findings. Verify: Use defined hardware/software design and implementation practices.</x:v>
      </x:c>
      <x:c r="P9" s="10" t="str"/>
      <x:c r="Q9" s="10" t="str">
        <x:v>Open</x:v>
      </x:c>
      <x:c r="R9" s="10" t="str"/>
      <x:c r="S9" s="10" t="str"/>
      <x:c r="T9" s="10" t="str"/>
      <x:c r="U9" s="5" t="str">
        <x:f>IF(Q9="Closed",IF(AND(R9&lt;&gt;"",S9&lt;&gt;""),"Closed recorded","Missing evidence/reviewer"),IF(Q9="N/A approved",IF(AND(T9&lt;&gt;"",S9&lt;&gt;""),"N/A recorded","Missing applicability approval"),"Open"))</x:f>
        <x:v>Open</x:v>
      </x:c>
      <x:c r="V9" s="5" t="str">
        <x:v>Normativa/IEC 62443-4-1 2018.pdf</x:v>
      </x:c>
      <x:c r="W9" s="5" t="str"/>
    </x:row>
    <x:row r="10" ht="36" customHeight="1">
      <x:c r="A10" s="5" t="str">
        <x:v>SDL-SM-1-04</x:v>
      </x:c>
      <x:c r="B10" s="5" t="str">
        <x:v>SM-1</x:v>
      </x:c>
      <x:c r="C10" s="5" t="str">
        <x:v>Development process</x:v>
      </x:c>
      <x:c r="D10" s="5" t="str">
        <x:v>Maintain repeatable verification and validation</x:v>
      </x:c>
      <x:c r="E10" s="5" t="str">
        <x:v>Mandatory</x:v>
      </x:c>
      <x:c r="F10" s="5" t="str">
        <x:v>In-scope product</x:v>
      </x:c>
      <x:c r="G10" s="5" t="str"/>
      <x:c r="H10" s="5" t="str">
        <x:v>5.2.1</x:v>
      </x:c>
      <x:c r="I10" s="5" t="str">
        <x:v>23</x:v>
      </x:c>
      <x:c r="J10" s="5" t="str">
        <x:v>21</x:v>
      </x:c>
      <x:c r="K10" s="5" t="str">
        <x:v>Controlled SDL processes, roles, training, supplier risk, issue and release records; see output/IEC_security_review_2026-10-26.md</x:v>
      </x:c>
      <x:c r="L10" s="5" t="str">
        <x:v>HiTEKS product/security lead</x:v>
      </x:c>
      <x:c r="M10" s="5" t="str">
        <x:v>Not demonstrated</x:v>
      </x:c>
      <x:c r="N10" s="5" t="str">
        <x:v>Not demonstrated</x:v>
      </x:c>
      <x:c r="O10" s="5" t="str">
        <x:v>Approved procedure and executed release records, with named reviewers and disposition of findings. Verify: Maintain repeatable verification and validation.</x:v>
      </x:c>
      <x:c r="P10" s="10" t="str"/>
      <x:c r="Q10" s="10" t="str">
        <x:v>Open</x:v>
      </x:c>
      <x:c r="R10" s="10" t="str"/>
      <x:c r="S10" s="10" t="str"/>
      <x:c r="T10" s="10" t="str"/>
      <x:c r="U10" s="5" t="str">
        <x:f>IF(Q10="Closed",IF(AND(R10&lt;&gt;"",S10&lt;&gt;""),"Closed recorded","Missing evidence/reviewer"),IF(Q10="N/A approved",IF(AND(T10&lt;&gt;"",S10&lt;&gt;""),"N/A recorded","Missing applicability approval"),"Open"))</x:f>
        <x:v>Open</x:v>
      </x:c>
      <x:c r="V10" s="5" t="str">
        <x:v>Normativa/IEC 62443-4-1 2018.pdf</x:v>
      </x:c>
      <x:c r="W10" s="5" t="str"/>
    </x:row>
    <x:row r="11" ht="36" customHeight="1">
      <x:c r="A11" s="5" t="str">
        <x:v>SDL-SM-1-05</x:v>
      </x:c>
      <x:c r="B11" s="5" t="str">
        <x:v>SM-1</x:v>
      </x:c>
      <x:c r="C11" s="5" t="str">
        <x:v>Development process</x:v>
      </x:c>
      <x:c r="D11" s="5" t="str">
        <x:v>Review and approve development-process records</x:v>
      </x:c>
      <x:c r="E11" s="5" t="str">
        <x:v>Mandatory</x:v>
      </x:c>
      <x:c r="F11" s="5" t="str">
        <x:v>In-scope product</x:v>
      </x:c>
      <x:c r="G11" s="5" t="str"/>
      <x:c r="H11" s="5" t="str">
        <x:v>5.2.1</x:v>
      </x:c>
      <x:c r="I11" s="5" t="str">
        <x:v>23</x:v>
      </x:c>
      <x:c r="J11" s="5" t="str">
        <x:v>21</x:v>
      </x:c>
      <x:c r="K11" s="5" t="str">
        <x:v>Controlled SDL processes, roles, training, supplier risk, issue and release records; see output/IEC_security_review_2026-10-26.md</x:v>
      </x:c>
      <x:c r="L11" s="5" t="str">
        <x:v>HiTEKS product/security lead</x:v>
      </x:c>
      <x:c r="M11" s="5" t="str">
        <x:v>Not demonstrated</x:v>
      </x:c>
      <x:c r="N11" s="5" t="str">
        <x:v>Not demonstrated</x:v>
      </x:c>
      <x:c r="O11" s="5" t="str">
        <x:v>Approved procedure and executed release records, with named reviewers and disposition of findings. Verify: Review and approve development-process records.</x:v>
      </x:c>
      <x:c r="P11" s="10" t="str"/>
      <x:c r="Q11" s="10" t="str">
        <x:v>Open</x:v>
      </x:c>
      <x:c r="R11" s="10" t="str"/>
      <x:c r="S11" s="10" t="str"/>
      <x:c r="T11" s="10" t="str"/>
      <x:c r="U11" s="5" t="str">
        <x:f>IF(Q11="Closed",IF(AND(R11&lt;&gt;"",S11&lt;&gt;""),"Closed recorded","Missing evidence/reviewer"),IF(Q11="N/A approved",IF(AND(T11&lt;&gt;"",S11&lt;&gt;""),"N/A recorded","Missing applicability approval"),"Open"))</x:f>
        <x:v>Open</x:v>
      </x:c>
      <x:c r="V11" s="5" t="str">
        <x:v>Normativa/IEC 62443-4-1 2018.pdf</x:v>
      </x:c>
      <x:c r="W11" s="5" t="str"/>
    </x:row>
    <x:row r="12" ht="36" customHeight="1">
      <x:c r="A12" s="5" t="str">
        <x:v>SDL-SM-1-06</x:v>
      </x:c>
      <x:c r="B12" s="5" t="str">
        <x:v>SM-1</x:v>
      </x:c>
      <x:c r="C12" s="5" t="str">
        <x:v>Development process</x:v>
      </x:c>
      <x:c r="D12" s="5" t="str">
        <x:v>Provide lifecycle support</x:v>
      </x:c>
      <x:c r="E12" s="5" t="str">
        <x:v>Mandatory</x:v>
      </x:c>
      <x:c r="F12" s="5" t="str">
        <x:v>In-scope product</x:v>
      </x:c>
      <x:c r="G12" s="5" t="str"/>
      <x:c r="H12" s="5" t="str">
        <x:v>5.2.1</x:v>
      </x:c>
      <x:c r="I12" s="5" t="str">
        <x:v>23</x:v>
      </x:c>
      <x:c r="J12" s="5" t="str">
        <x:v>21</x:v>
      </x:c>
      <x:c r="K12" s="5" t="str">
        <x:v>Controlled SDL processes, roles, training, supplier risk, issue and release records; see output/IEC_security_review_2026-10-26.md</x:v>
      </x:c>
      <x:c r="L12" s="5" t="str">
        <x:v>HiTEKS product/security lead</x:v>
      </x:c>
      <x:c r="M12" s="5" t="str">
        <x:v>Not demonstrated</x:v>
      </x:c>
      <x:c r="N12" s="5" t="str">
        <x:v>Not demonstrated</x:v>
      </x:c>
      <x:c r="O12" s="5" t="str">
        <x:v>Approved procedure and executed release records, with named reviewers and disposition of findings. Verify: Provide lifecycle support.</x:v>
      </x:c>
      <x:c r="P12" s="10" t="str"/>
      <x:c r="Q12" s="10" t="str">
        <x:v>Open</x:v>
      </x:c>
      <x:c r="R12" s="10" t="str"/>
      <x:c r="S12" s="10" t="str"/>
      <x:c r="T12" s="10" t="str"/>
      <x:c r="U12" s="5" t="str">
        <x:f>IF(Q12="Closed",IF(AND(R12&lt;&gt;"",S12&lt;&gt;""),"Closed recorded","Missing evidence/reviewer"),IF(Q12="N/A approved",IF(AND(T12&lt;&gt;"",S12&lt;&gt;""),"N/A recorded","Missing applicability approval"),"Open"))</x:f>
        <x:v>Open</x:v>
      </x:c>
      <x:c r="V12" s="5" t="str">
        <x:v>Normativa/IEC 62443-4-1 2018.pdf</x:v>
      </x:c>
      <x:c r="W12" s="5" t="str"/>
    </x:row>
    <x:row r="13" ht="36" customHeight="1">
      <x:c r="A13" s="5" t="str">
        <x:v>SDL-SM-2-01</x:v>
      </x:c>
      <x:c r="B13" s="5" t="str">
        <x:v>SM-2</x:v>
      </x:c>
      <x:c r="C13" s="5" t="str">
        <x:v>Responsibilities</x:v>
      </x:c>
      <x:c r="D13" s="5" t="str">
        <x:v>Identify organizational roles and responsible personnel for every required process</x:v>
      </x:c>
      <x:c r="E13" s="5" t="str">
        <x:v>Mandatory</x:v>
      </x:c>
      <x:c r="F13" s="5" t="str">
        <x:v>In-scope product</x:v>
      </x:c>
      <x:c r="G13" s="5" t="str"/>
      <x:c r="H13" s="5" t="str">
        <x:v>5.4.1</x:v>
      </x:c>
      <x:c r="I13" s="5" t="str">
        <x:v>23</x:v>
      </x:c>
      <x:c r="J13" s="5" t="str">
        <x:v>21</x:v>
      </x:c>
      <x:c r="K13" s="5" t="str">
        <x:v>Controlled SDL processes, roles, training, supplier risk, issue and release records; see output/IEC_security_review_2026-10-26.md</x:v>
      </x:c>
      <x:c r="L13" s="5" t="str">
        <x:v>HiTEKS product/security lead</x:v>
      </x:c>
      <x:c r="M13" s="5" t="str">
        <x:v>Not demonstrated</x:v>
      </x:c>
      <x:c r="N13" s="5" t="str">
        <x:v>Not demonstrated</x:v>
      </x:c>
      <x:c r="O13" s="5" t="str">
        <x:v>Approved procedure and executed release records, with named reviewers and disposition of findings. Verify: Identify organizational roles and responsible personnel for every required process.</x:v>
      </x:c>
      <x:c r="P13" s="10" t="str"/>
      <x:c r="Q13" s="10" t="str">
        <x:v>Open</x:v>
      </x:c>
      <x:c r="R13" s="10" t="str"/>
      <x:c r="S13" s="10" t="str"/>
      <x:c r="T13" s="10" t="str"/>
      <x:c r="U13" s="5" t="str">
        <x:f>IF(Q13="Closed",IF(AND(R13&lt;&gt;"",S13&lt;&gt;""),"Closed recorded","Missing evidence/reviewer"),IF(Q13="N/A approved",IF(AND(T13&lt;&gt;"",S13&lt;&gt;""),"N/A recorded","Missing applicability approval"),"Open"))</x:f>
        <x:v>Open</x:v>
      </x:c>
      <x:c r="V13" s="5" t="str">
        <x:v>Normativa/IEC 62443-4-1 2018.pdf</x:v>
      </x:c>
      <x:c r="W13" s="5" t="str"/>
    </x:row>
    <x:row r="14" ht="36" customHeight="1">
      <x:c r="A14" s="5" t="str">
        <x:v>SDL-SM-3-01</x:v>
      </x:c>
      <x:c r="B14" s="5" t="str">
        <x:v>SM-3</x:v>
      </x:c>
      <x:c r="C14" s="5" t="str">
        <x:v>Product applicability</x:v>
      </x:c>
      <x:c r="D14" s="5" t="str">
        <x:v>Identify which products and product parts are covered by this SDL</x:v>
      </x:c>
      <x:c r="E14" s="5" t="str">
        <x:v>Mandatory</x:v>
      </x:c>
      <x:c r="F14" s="5" t="str">
        <x:v>In-scope product</x:v>
      </x:c>
      <x:c r="G14" s="5" t="str"/>
      <x:c r="H14" s="5" t="str">
        <x:v>5.5.1</x:v>
      </x:c>
      <x:c r="I14" s="5" t="str">
        <x:v>23</x:v>
      </x:c>
      <x:c r="J14" s="5" t="str">
        <x:v>21</x:v>
      </x:c>
      <x:c r="K14" s="5" t="str">
        <x:v>Controlled SDL processes, roles, training, supplier risk, issue and release records; see output/IEC_security_review_2026-10-26.md</x:v>
      </x:c>
      <x:c r="L14" s="5" t="str">
        <x:v>HiTEKS product/security lead</x:v>
      </x:c>
      <x:c r="M14" s="5" t="str">
        <x:v>Not demonstrated</x:v>
      </x:c>
      <x:c r="N14" s="5" t="str">
        <x:v>Not demonstrated</x:v>
      </x:c>
      <x:c r="O14" s="5" t="str">
        <x:v>Approved procedure and executed release records, with named reviewers and disposition of findings. Verify: Identify which products and product parts are covered by this SDL.</x:v>
      </x:c>
      <x:c r="P14" s="10" t="str"/>
      <x:c r="Q14" s="10" t="str">
        <x:v>Open</x:v>
      </x:c>
      <x:c r="R14" s="10" t="str"/>
      <x:c r="S14" s="10" t="str"/>
      <x:c r="T14" s="10" t="str"/>
      <x:c r="U14" s="5" t="str">
        <x:f>IF(Q14="Closed",IF(AND(R14&lt;&gt;"",S14&lt;&gt;""),"Closed recorded","Missing evidence/reviewer"),IF(Q14="N/A approved",IF(AND(T14&lt;&gt;"",S14&lt;&gt;""),"N/A recorded","Missing applicability approval"),"Open"))</x:f>
        <x:v>Open</x:v>
      </x:c>
      <x:c r="V14" s="5" t="str">
        <x:v>Normativa/IEC 62443-4-1 2018.pdf</x:v>
      </x:c>
      <x:c r="W14" s="5" t="str"/>
    </x:row>
    <x:row r="15" ht="36" customHeight="1">
      <x:c r="A15" s="5" t="str">
        <x:v>SDL-SM-4-01</x:v>
      </x:c>
      <x:c r="B15" s="5" t="str">
        <x:v>SM-4</x:v>
      </x:c>
      <x:c r="C15" s="5" t="str">
        <x:v>Security expertise</x:v>
      </x:c>
      <x:c r="D15" s="5" t="str">
        <x:v>Identify role-specific security training and assessment needs</x:v>
      </x:c>
      <x:c r="E15" s="5" t="str">
        <x:v>Mandatory</x:v>
      </x:c>
      <x:c r="F15" s="5" t="str">
        <x:v>In-scope product</x:v>
      </x:c>
      <x:c r="G15" s="5" t="str"/>
      <x:c r="H15" s="5" t="str">
        <x:v>5.6.1</x:v>
      </x:c>
      <x:c r="I15" s="5" t="str">
        <x:v>24</x:v>
      </x:c>
      <x:c r="J15" s="5" t="str">
        <x:v>22</x:v>
      </x:c>
      <x:c r="K15" s="5" t="str">
        <x:v>Controlled SDL processes, roles, training, supplier risk, issue and release records; see output/IEC_security_review_2026-10-26.md</x:v>
      </x:c>
      <x:c r="L15" s="5" t="str">
        <x:v>HiTEKS product/security lead</x:v>
      </x:c>
      <x:c r="M15" s="5" t="str">
        <x:v>Not demonstrated</x:v>
      </x:c>
      <x:c r="N15" s="5" t="str">
        <x:v>Not demonstrated</x:v>
      </x:c>
      <x:c r="O15" s="5" t="str">
        <x:v>Approved procedure and executed release records, with named reviewers and disposition of findings. Verify: Identify role-specific security training and assessment needs.</x:v>
      </x:c>
      <x:c r="P15" s="10" t="str"/>
      <x:c r="Q15" s="10" t="str">
        <x:v>Open</x:v>
      </x:c>
      <x:c r="R15" s="10" t="str"/>
      <x:c r="S15" s="10" t="str"/>
      <x:c r="T15" s="10" t="str"/>
      <x:c r="U15" s="5" t="str">
        <x:f>IF(Q15="Closed",IF(AND(R15&lt;&gt;"",S15&lt;&gt;""),"Closed recorded","Missing evidence/reviewer"),IF(Q15="N/A approved",IF(AND(T15&lt;&gt;"",S15&lt;&gt;""),"N/A recorded","Missing applicability approval"),"Open"))</x:f>
        <x:v>Open</x:v>
      </x:c>
      <x:c r="V15" s="5" t="str">
        <x:v>Normativa/IEC 62443-4-1 2018.pdf</x:v>
      </x:c>
      <x:c r="W15" s="5" t="str"/>
    </x:row>
    <x:row r="16" ht="36" customHeight="1">
      <x:c r="A16" s="5" t="str">
        <x:v>SDL-SM-4-02</x:v>
      </x:c>
      <x:c r="B16" s="5" t="str">
        <x:v>SM-4</x:v>
      </x:c>
      <x:c r="C16" s="5" t="str">
        <x:v>Security expertise</x:v>
      </x:c>
      <x:c r="D16" s="5" t="str">
        <x:v>Provide training and retain evidence that responsible personnel have appropriate expertise</x:v>
      </x:c>
      <x:c r="E16" s="5" t="str">
        <x:v>Mandatory</x:v>
      </x:c>
      <x:c r="F16" s="5" t="str">
        <x:v>In-scope product</x:v>
      </x:c>
      <x:c r="G16" s="5" t="str"/>
      <x:c r="H16" s="5" t="str">
        <x:v>5.6.1</x:v>
      </x:c>
      <x:c r="I16" s="5" t="str">
        <x:v>24</x:v>
      </x:c>
      <x:c r="J16" s="5" t="str">
        <x:v>22</x:v>
      </x:c>
      <x:c r="K16" s="5" t="str">
        <x:v>Controlled SDL processes, roles, training, supplier risk, issue and release records; see output/IEC_security_review_2026-10-26.md</x:v>
      </x:c>
      <x:c r="L16" s="5" t="str">
        <x:v>HiTEKS product/security lead</x:v>
      </x:c>
      <x:c r="M16" s="5" t="str">
        <x:v>Not demonstrated</x:v>
      </x:c>
      <x:c r="N16" s="5" t="str">
        <x:v>Not demonstrated</x:v>
      </x:c>
      <x:c r="O16" s="5" t="str">
        <x:v>Approved procedure and executed release records, with named reviewers and disposition of findings. Verify: Provide training and retain evidence that responsible personnel have appropriate expertise.</x:v>
      </x:c>
      <x:c r="P16" s="10" t="str"/>
      <x:c r="Q16" s="10" t="str">
        <x:v>Open</x:v>
      </x:c>
      <x:c r="R16" s="10" t="str"/>
      <x:c r="S16" s="10" t="str"/>
      <x:c r="T16" s="10" t="str"/>
      <x:c r="U16" s="5" t="str">
        <x:f>IF(Q16="Closed",IF(AND(R16&lt;&gt;"",S16&lt;&gt;""),"Closed recorded","Missing evidence/reviewer"),IF(Q16="N/A approved",IF(AND(T16&lt;&gt;"",S16&lt;&gt;""),"N/A recorded","Missing applicability approval"),"Open"))</x:f>
        <x:v>Open</x:v>
      </x:c>
      <x:c r="V16" s="5" t="str">
        <x:v>Normativa/IEC 62443-4-1 2018.pdf</x:v>
      </x:c>
      <x:c r="W16" s="5" t="str"/>
    </x:row>
    <x:row r="17" ht="36" customHeight="1">
      <x:c r="A17" s="5" t="str">
        <x:v>SDL-SM-5-01</x:v>
      </x:c>
      <x:c r="B17" s="5" t="str">
        <x:v>SM-5</x:v>
      </x:c>
      <x:c r="C17" s="5" t="str">
        <x:v>Process scoping</x:v>
      </x:c>
      <x:c r="D17" s="5" t="str">
        <x:v>Determine applicable SDL requirements using documented security analysis</x:v>
      </x:c>
      <x:c r="E17" s="5" t="str">
        <x:v>Mandatory</x:v>
      </x:c>
      <x:c r="F17" s="5" t="str">
        <x:v>In-scope product</x:v>
      </x:c>
      <x:c r="G17" s="5" t="str"/>
      <x:c r="H17" s="5" t="str">
        <x:v>5.7.1</x:v>
      </x:c>
      <x:c r="I17" s="5" t="str">
        <x:v>21,24</x:v>
      </x:c>
      <x:c r="J17" s="5" t="str">
        <x:v>19,22</x:v>
      </x:c>
      <x:c r="K17" s="5" t="str">
        <x:v>Controlled SDL processes, roles, training, supplier risk, issue and release records; see output/IEC_security_review_2026-10-26.md</x:v>
      </x:c>
      <x:c r="L17" s="5" t="str">
        <x:v>HiTEKS product/security lead</x:v>
      </x:c>
      <x:c r="M17" s="5" t="str">
        <x:v>Not demonstrated</x:v>
      </x:c>
      <x:c r="N17" s="5" t="str">
        <x:v>Not demonstrated</x:v>
      </x:c>
      <x:c r="O17" s="5" t="str">
        <x:v>Approved procedure and executed release records, with named reviewers and disposition of findings. Verify: Determine applicable SDL requirements using documented security analysis.</x:v>
      </x:c>
      <x:c r="P17" s="10" t="str"/>
      <x:c r="Q17" s="10" t="str">
        <x:v>Open</x:v>
      </x:c>
      <x:c r="R17" s="10" t="str"/>
      <x:c r="S17" s="10" t="str"/>
      <x:c r="T17" s="10" t="str"/>
      <x:c r="U17" s="5" t="str">
        <x:f>IF(Q17="Closed",IF(AND(R17&lt;&gt;"",S17&lt;&gt;""),"Closed recorded","Missing evidence/reviewer"),IF(Q17="N/A approved",IF(AND(T17&lt;&gt;"",S17&lt;&gt;""),"N/A recorded","Missing applicability approval"),"Open"))</x:f>
        <x:v>Open</x:v>
      </x:c>
      <x:c r="V17" s="5" t="str">
        <x:v>Normativa/IEC 62443-4-1 2018.pdf</x:v>
      </x:c>
      <x:c r="W17" s="5" t="str"/>
    </x:row>
    <x:row r="18" ht="36" customHeight="1">
      <x:c r="A18" s="5" t="str">
        <x:v>SDL-SM-5-02</x:v>
      </x:c>
      <x:c r="B18" s="5" t="str">
        <x:v>SM-5</x:v>
      </x:c>
      <x:c r="C18" s="5" t="str">
        <x:v>Process scoping</x:v>
      </x:c>
      <x:c r="D18" s="5" t="str">
        <x:v>Have scoping and justification reviewed and approved by appropriately qualified personnel</x:v>
      </x:c>
      <x:c r="E18" s="5" t="str">
        <x:v>Mandatory</x:v>
      </x:c>
      <x:c r="F18" s="5" t="str">
        <x:v>In-scope product</x:v>
      </x:c>
      <x:c r="G18" s="5" t="str"/>
      <x:c r="H18" s="5" t="str">
        <x:v>5.7.1</x:v>
      </x:c>
      <x:c r="I18" s="5" t="str">
        <x:v>21,24</x:v>
      </x:c>
      <x:c r="J18" s="5" t="str">
        <x:v>19,22</x:v>
      </x:c>
      <x:c r="K18" s="5" t="str">
        <x:v>Controlled SDL processes, roles, training, supplier risk, issue and release records; see output/IEC_security_review_2026-10-26.md</x:v>
      </x:c>
      <x:c r="L18" s="5" t="str">
        <x:v>HiTEKS product/security lead</x:v>
      </x:c>
      <x:c r="M18" s="5" t="str">
        <x:v>Not demonstrated</x:v>
      </x:c>
      <x:c r="N18" s="5" t="str">
        <x:v>Not demonstrated</x:v>
      </x:c>
      <x:c r="O18" s="5" t="str">
        <x:v>Approved procedure and executed release records, with named reviewers and disposition of findings. Verify: Have scoping and justification reviewed and approved by appropriately qualified personnel.</x:v>
      </x:c>
      <x:c r="P18" s="10" t="str"/>
      <x:c r="Q18" s="10" t="str">
        <x:v>Open</x:v>
      </x:c>
      <x:c r="R18" s="10" t="str"/>
      <x:c r="S18" s="10" t="str"/>
      <x:c r="T18" s="10" t="str"/>
      <x:c r="U18" s="5" t="str">
        <x:f>IF(Q18="Closed",IF(AND(R18&lt;&gt;"",S18&lt;&gt;""),"Closed recorded","Missing evidence/reviewer"),IF(Q18="N/A approved",IF(AND(T18&lt;&gt;"",S18&lt;&gt;""),"N/A recorded","Missing applicability approval"),"Open"))</x:f>
        <x:v>Open</x:v>
      </x:c>
      <x:c r="V18" s="5" t="str">
        <x:v>Normativa/IEC 62443-4-1 2018.pdf</x:v>
      </x:c>
      <x:c r="W18" s="5" t="str"/>
    </x:row>
    <x:row r="19" ht="47" customHeight="1">
      <x:c r="A19" s="5" t="str">
        <x:v>SDL-SM-5-03</x:v>
      </x:c>
      <x:c r="B19" s="5" t="str">
        <x:v>SM-5</x:v>
      </x:c>
      <x:c r="C19" s="5" t="str">
        <x:v>Process scoping</x:v>
      </x:c>
      <x:c r="D19" s="5" t="str">
        <x:v>Follow every applicable requirement throughout product development regardless of organizational maturity level, as required by4.2</x:v>
      </x:c>
      <x:c r="E19" s="5" t="str">
        <x:v>Mandatory</x:v>
      </x:c>
      <x:c r="F19" s="5" t="str">
        <x:v>In-scope product</x:v>
      </x:c>
      <x:c r="G19" s="5" t="str"/>
      <x:c r="H19" s="5" t="str">
        <x:v>5.7.1</x:v>
      </x:c>
      <x:c r="I19" s="5" t="str">
        <x:v>21,24</x:v>
      </x:c>
      <x:c r="J19" s="5" t="str">
        <x:v>19,22</x:v>
      </x:c>
      <x:c r="K19" s="5" t="str">
        <x:v>Controlled SDL processes, roles, training, supplier risk, issue and release records; see output/IEC_security_review_2026-10-26.md</x:v>
      </x:c>
      <x:c r="L19" s="5" t="str">
        <x:v>HiTEKS product/security lead</x:v>
      </x:c>
      <x:c r="M19" s="5" t="str">
        <x:v>Not demonstrated</x:v>
      </x:c>
      <x:c r="N19" s="5" t="str">
        <x:v>Not demonstrated</x:v>
      </x:c>
      <x:c r="O19" s="5" t="str">
        <x:v>Approved procedure and executed release records, with named reviewers and disposition of findings. Verify: Follow every applicable requirement throughout product development regardless of organizational maturity level, as required by4.2.</x:v>
      </x:c>
      <x:c r="P19" s="10" t="str"/>
      <x:c r="Q19" s="10" t="str">
        <x:v>Open</x:v>
      </x:c>
      <x:c r="R19" s="10" t="str"/>
      <x:c r="S19" s="10" t="str"/>
      <x:c r="T19" s="10" t="str"/>
      <x:c r="U19" s="5" t="str">
        <x:f>IF(Q19="Closed",IF(AND(R19&lt;&gt;"",S19&lt;&gt;""),"Closed recorded","Missing evidence/reviewer"),IF(Q19="N/A approved",IF(AND(T19&lt;&gt;"",S19&lt;&gt;""),"N/A recorded","Missing applicability approval"),"Open"))</x:f>
        <x:v>Open</x:v>
      </x:c>
      <x:c r="V19" s="5" t="str">
        <x:v>Normativa/IEC 62443-4-1 2018.pdf</x:v>
      </x:c>
      <x:c r="W19" s="5" t="str"/>
    </x:row>
    <x:row r="20" ht="47" customHeight="1">
      <x:c r="A20" s="5" t="str">
        <x:v>SDL-SM-6-01</x:v>
      </x:c>
      <x:c r="B20" s="5" t="str">
        <x:v>SM-6</x:v>
      </x:c>
      <x:c r="C20" s="5" t="str">
        <x:v>File integrity</x:v>
      </x:c>
      <x:c r="D20" s="5" t="str">
        <x:v>Provide an integrity-verification mechanism for all product scripts, executables and other important files</x:v>
      </x:c>
      <x:c r="E20" s="5" t="str">
        <x:v>Mandatory</x:v>
      </x:c>
      <x:c r="F20" s="5" t="str">
        <x:v>In-scope product</x:v>
      </x:c>
      <x:c r="G20" s="5" t="str"/>
      <x:c r="H20" s="5" t="str">
        <x:v>5.8.1</x:v>
      </x:c>
      <x:c r="I20" s="5" t="str">
        <x:v>25</x:v>
      </x:c>
      <x:c r="J20" s="5" t="str">
        <x:v>23</x:v>
      </x:c>
      <x:c r="K20" s="5" t="str">
        <x:v>Controlled SDL processes, roles, training, supplier risk, issue and release records; see output/IEC_security_review_2026-10-26.md</x:v>
      </x:c>
      <x:c r="L20" s="5" t="str">
        <x:v>HiTEKS product/security lead</x:v>
      </x:c>
      <x:c r="M20" s="5" t="str">
        <x:v>Not demonstrated</x:v>
      </x:c>
      <x:c r="N20" s="5" t="str">
        <x:v>Not demonstrated</x:v>
      </x:c>
      <x:c r="O20" s="5" t="str">
        <x:v>Approved procedure and executed release records, with named reviewers and disposition of findings. Verify: Provide an integrity-verification mechanism for all product scripts, executables and other important files.</x:v>
      </x:c>
      <x:c r="P20" s="10" t="str"/>
      <x:c r="Q20" s="10" t="str">
        <x:v>Open</x:v>
      </x:c>
      <x:c r="R20" s="10" t="str"/>
      <x:c r="S20" s="10" t="str"/>
      <x:c r="T20" s="10" t="str"/>
      <x:c r="U20" s="5" t="str">
        <x:f>IF(Q20="Closed",IF(AND(R20&lt;&gt;"",S20&lt;&gt;""),"Closed recorded","Missing evidence/reviewer"),IF(Q20="N/A approved",IF(AND(T20&lt;&gt;"",S20&lt;&gt;""),"N/A recorded","Missing applicability approval"),"Open"))</x:f>
        <x:v>Open</x:v>
      </x:c>
      <x:c r="V20" s="5" t="str">
        <x:v>Normativa/IEC 62443-4-1 2018.pdf</x:v>
      </x:c>
      <x:c r="W20" s="5" t="str"/>
    </x:row>
    <x:row r="21" ht="36" customHeight="1">
      <x:c r="A21" s="5" t="str">
        <x:v>SDL-SM-7-01</x:v>
      </x:c>
      <x:c r="B21" s="5" t="str">
        <x:v>SM-7</x:v>
      </x:c>
      <x:c r="C21" s="5" t="str">
        <x:v>Development environment security</x:v>
      </x:c>
      <x:c r="D21" s="5" t="str">
        <x:v>Apply procedural and technical protection during design, implementation, testing and release</x:v>
      </x:c>
      <x:c r="E21" s="5" t="str">
        <x:v>Mandatory</x:v>
      </x:c>
      <x:c r="F21" s="5" t="str">
        <x:v>In-scope product</x:v>
      </x:c>
      <x:c r="G21" s="5" t="str"/>
      <x:c r="H21" s="5" t="str">
        <x:v>5.9.1</x:v>
      </x:c>
      <x:c r="I21" s="5" t="str">
        <x:v>25</x:v>
      </x:c>
      <x:c r="J21" s="5" t="str">
        <x:v>23</x:v>
      </x:c>
      <x:c r="K21" s="5" t="str">
        <x:v>Controlled SDL processes, roles, training, supplier risk, issue and release records; see output/IEC_security_review_2026-10-26.md</x:v>
      </x:c>
      <x:c r="L21" s="5" t="str">
        <x:v>HiTEKS product/security lead</x:v>
      </x:c>
      <x:c r="M21" s="5" t="str">
        <x:v>Not demonstrated</x:v>
      </x:c>
      <x:c r="N21" s="5" t="str">
        <x:v>Not demonstrated</x:v>
      </x:c>
      <x:c r="O21" s="5" t="str">
        <x:v>Approved procedure and executed release records, with named reviewers and disposition of findings. Verify: Apply procedural and technical protection during design, implementation, testing and release.</x:v>
      </x:c>
      <x:c r="P21" s="10" t="str"/>
      <x:c r="Q21" s="10" t="str">
        <x:v>Open</x:v>
      </x:c>
      <x:c r="R21" s="10" t="str"/>
      <x:c r="S21" s="10" t="str"/>
      <x:c r="T21" s="10" t="str"/>
      <x:c r="U21" s="5" t="str">
        <x:f>IF(Q21="Closed",IF(AND(R21&lt;&gt;"",S21&lt;&gt;""),"Closed recorded","Missing evidence/reviewer"),IF(Q21="N/A approved",IF(AND(T21&lt;&gt;"",S21&lt;&gt;""),"N/A recorded","Missing applicability approval"),"Open"))</x:f>
        <x:v>Open</x:v>
      </x:c>
      <x:c r="V21" s="5" t="str">
        <x:v>Normativa/IEC 62443-4-1 2018.pdf</x:v>
      </x:c>
      <x:c r="W21" s="5" t="str"/>
    </x:row>
    <x:row r="22" ht="36" customHeight="1">
      <x:c r="A22" s="5" t="str">
        <x:v>SDL-SM-7-02</x:v>
      </x:c>
      <x:c r="B22" s="5" t="str">
        <x:v>SM-7</x:v>
      </x:c>
      <x:c r="C22" s="5" t="str">
        <x:v>Development environment security</x:v>
      </x:c>
      <x:c r="D22" s="5" t="str">
        <x:v>Protect product and updates during development, production and delivery</x:v>
      </x:c>
      <x:c r="E22" s="5" t="str">
        <x:v>Mandatory</x:v>
      </x:c>
      <x:c r="F22" s="5" t="str">
        <x:v>In-scope product</x:v>
      </x:c>
      <x:c r="G22" s="5" t="str"/>
      <x:c r="H22" s="5" t="str">
        <x:v>5.9.1</x:v>
      </x:c>
      <x:c r="I22" s="5" t="str">
        <x:v>25</x:v>
      </x:c>
      <x:c r="J22" s="5" t="str">
        <x:v>23</x:v>
      </x:c>
      <x:c r="K22" s="5" t="str">
        <x:v>Controlled SDL processes, roles, training, supplier risk, issue and release records; see output/IEC_security_review_2026-10-26.md</x:v>
      </x:c>
      <x:c r="L22" s="5" t="str">
        <x:v>HiTEKS product/security lead</x:v>
      </x:c>
      <x:c r="M22" s="5" t="str">
        <x:v>Not demonstrated</x:v>
      </x:c>
      <x:c r="N22" s="5" t="str">
        <x:v>Not demonstrated</x:v>
      </x:c>
      <x:c r="O22" s="5" t="str">
        <x:v>Approved procedure and executed release records, with named reviewers and disposition of findings. Verify: Protect product and updates during development, production and delivery.</x:v>
      </x:c>
      <x:c r="P22" s="10" t="str"/>
      <x:c r="Q22" s="10" t="str">
        <x:v>Open</x:v>
      </x:c>
      <x:c r="R22" s="10" t="str"/>
      <x:c r="S22" s="10" t="str"/>
      <x:c r="T22" s="10" t="str"/>
      <x:c r="U22" s="5" t="str">
        <x:f>IF(Q22="Closed",IF(AND(R22&lt;&gt;"",S22&lt;&gt;""),"Closed recorded","Missing evidence/reviewer"),IF(Q22="N/A approved",IF(AND(T22&lt;&gt;"",S22&lt;&gt;""),"N/A recorded","Missing applicability approval"),"Open"))</x:f>
        <x:v>Open</x:v>
      </x:c>
      <x:c r="V22" s="5" t="str">
        <x:v>Normativa/IEC 62443-4-1 2018.pdf</x:v>
      </x:c>
      <x:c r="W22" s="5" t="str"/>
    </x:row>
    <x:row r="23" ht="36" customHeight="1">
      <x:c r="A23" s="5" t="str">
        <x:v>SDL-SM-8-01</x:v>
      </x:c>
      <x:c r="B23" s="5" t="str">
        <x:v>SM-8</x:v>
      </x:c>
      <x:c r="C23" s="5" t="str">
        <x:v>Code-signing private keys</x:v>
      </x:c>
      <x:c r="D23" s="5" t="str">
        <x:v>Protect signing private keys against unauthorized access</x:v>
      </x:c>
      <x:c r="E23" s="5" t="str">
        <x:v>Mandatory</x:v>
      </x:c>
      <x:c r="F23" s="5" t="str">
        <x:v>In-scope product</x:v>
      </x:c>
      <x:c r="G23" s="5" t="str"/>
      <x:c r="H23" s="5" t="str">
        <x:v>5.10.1</x:v>
      </x:c>
      <x:c r="I23" s="5" t="str">
        <x:v>25-26</x:v>
      </x:c>
      <x:c r="J23" s="5" t="str">
        <x:v>23,24</x:v>
      </x:c>
      <x:c r="K23" s="5" t="str">
        <x:v>Controlled SDL processes, roles, training, supplier risk, issue and release records; see output/IEC_security_review_2026-10-26.md</x:v>
      </x:c>
      <x:c r="L23" s="5" t="str">
        <x:v>HiTEKS product/security lead</x:v>
      </x:c>
      <x:c r="M23" s="5" t="str">
        <x:v>Not demonstrated</x:v>
      </x:c>
      <x:c r="N23" s="5" t="str">
        <x:v>Not demonstrated</x:v>
      </x:c>
      <x:c r="O23" s="5" t="str">
        <x:v>Approved procedure and executed release records, with named reviewers and disposition of findings. Verify: Protect signing private keys against unauthorized access.</x:v>
      </x:c>
      <x:c r="P23" s="10" t="str"/>
      <x:c r="Q23" s="10" t="str">
        <x:v>Open</x:v>
      </x:c>
      <x:c r="R23" s="10" t="str"/>
      <x:c r="S23" s="10" t="str"/>
      <x:c r="T23" s="10" t="str"/>
      <x:c r="U23" s="5" t="str">
        <x:f>IF(Q23="Closed",IF(AND(R23&lt;&gt;"",S23&lt;&gt;""),"Closed recorded","Missing evidence/reviewer"),IF(Q23="N/A approved",IF(AND(T23&lt;&gt;"",S23&lt;&gt;""),"N/A recorded","Missing applicability approval"),"Open"))</x:f>
        <x:v>Open</x:v>
      </x:c>
      <x:c r="V23" s="5" t="str">
        <x:v>Normativa/IEC 62443-4-1 2018.pdf</x:v>
      </x:c>
      <x:c r="W23" s="5" t="str"/>
    </x:row>
    <x:row r="24" ht="36" customHeight="1">
      <x:c r="A24" s="5" t="str">
        <x:v>SDL-SM-8-02</x:v>
      </x:c>
      <x:c r="B24" s="5" t="str">
        <x:v>SM-8</x:v>
      </x:c>
      <x:c r="C24" s="5" t="str">
        <x:v>Code-signing private keys</x:v>
      </x:c>
      <x:c r="D24" s="5" t="str">
        <x:v>Protect signing private keys against unauthorized modification</x:v>
      </x:c>
      <x:c r="E24" s="5" t="str">
        <x:v>Mandatory</x:v>
      </x:c>
      <x:c r="F24" s="5" t="str">
        <x:v>In-scope product</x:v>
      </x:c>
      <x:c r="G24" s="5" t="str"/>
      <x:c r="H24" s="5" t="str">
        <x:v>5.10.1</x:v>
      </x:c>
      <x:c r="I24" s="5" t="str">
        <x:v>25-26</x:v>
      </x:c>
      <x:c r="J24" s="5" t="str">
        <x:v>23,24</x:v>
      </x:c>
      <x:c r="K24" s="5" t="str">
        <x:v>Controlled SDL processes, roles, training, supplier risk, issue and release records; see output/IEC_security_review_2026-10-26.md</x:v>
      </x:c>
      <x:c r="L24" s="5" t="str">
        <x:v>HiTEKS product/security lead</x:v>
      </x:c>
      <x:c r="M24" s="5" t="str">
        <x:v>Not demonstrated</x:v>
      </x:c>
      <x:c r="N24" s="5" t="str">
        <x:v>Not demonstrated</x:v>
      </x:c>
      <x:c r="O24" s="5" t="str">
        <x:v>Approved procedure and executed release records, with named reviewers and disposition of findings. Verify: Protect signing private keys against unauthorized modification.</x:v>
      </x:c>
      <x:c r="P24" s="10" t="str"/>
      <x:c r="Q24" s="10" t="str">
        <x:v>Open</x:v>
      </x:c>
      <x:c r="R24" s="10" t="str"/>
      <x:c r="S24" s="10" t="str"/>
      <x:c r="T24" s="10" t="str"/>
      <x:c r="U24" s="5" t="str">
        <x:f>IF(Q24="Closed",IF(AND(R24&lt;&gt;"",S24&lt;&gt;""),"Closed recorded","Missing evidence/reviewer"),IF(Q24="N/A approved",IF(AND(T24&lt;&gt;"",S24&lt;&gt;""),"N/A recorded","Missing applicability approval"),"Open"))</x:f>
        <x:v>Open</x:v>
      </x:c>
      <x:c r="V24" s="5" t="str">
        <x:v>Normativa/IEC 62443-4-1 2018.pdf</x:v>
      </x:c>
      <x:c r="W24" s="5" t="str"/>
    </x:row>
    <x:row r="25" ht="36" customHeight="1">
      <x:c r="A25" s="5" t="str">
        <x:v>SDL-SM-9-01</x:v>
      </x:c>
      <x:c r="B25" s="5" t="str">
        <x:v>SM-9</x:v>
      </x:c>
      <x:c r="C25" s="5" t="str">
        <x:v>External components</x:v>
      </x:c>
      <x:c r="D25" s="5" t="str">
        <x:v>Identify and manage security risks of every externally provided component</x:v>
      </x:c>
      <x:c r="E25" s="5" t="str">
        <x:v>Mandatory</x:v>
      </x:c>
      <x:c r="F25" s="5" t="str">
        <x:v>In-scope product</x:v>
      </x:c>
      <x:c r="G25" s="5" t="str"/>
      <x:c r="H25" s="5" t="str">
        <x:v>5.11.1</x:v>
      </x:c>
      <x:c r="I25" s="5" t="str">
        <x:v>26</x:v>
      </x:c>
      <x:c r="J25" s="5" t="str">
        <x:v>24</x:v>
      </x:c>
      <x:c r="K25" s="5" t="str">
        <x:v>Controlled SDL processes, roles, training, supplier risk, issue and release records; see output/IEC_security_review_2026-10-26.md</x:v>
      </x:c>
      <x:c r="L25" s="5" t="str">
        <x:v>HiTEKS product/security lead</x:v>
      </x:c>
      <x:c r="M25" s="5" t="str">
        <x:v>Not demonstrated</x:v>
      </x:c>
      <x:c r="N25" s="5" t="str">
        <x:v>Not demonstrated</x:v>
      </x:c>
      <x:c r="O25" s="5" t="str">
        <x:v>Approved procedure and executed release records, with named reviewers and disposition of findings. Verify: Identify and manage security risks of every externally provided component.</x:v>
      </x:c>
      <x:c r="P25" s="10" t="str"/>
      <x:c r="Q25" s="10" t="str">
        <x:v>Open</x:v>
      </x:c>
      <x:c r="R25" s="10" t="str"/>
      <x:c r="S25" s="10" t="str"/>
      <x:c r="T25" s="10" t="str"/>
      <x:c r="U25" s="5" t="str">
        <x:f>IF(Q25="Closed",IF(AND(R25&lt;&gt;"",S25&lt;&gt;""),"Closed recorded","Missing evidence/reviewer"),IF(Q25="N/A approved",IF(AND(T25&lt;&gt;"",S25&lt;&gt;""),"N/A recorded","Missing applicability approval"),"Open"))</x:f>
        <x:v>Open</x:v>
      </x:c>
      <x:c r="V25" s="5" t="str">
        <x:v>Normativa/IEC 62443-4-1 2018.pdf</x:v>
      </x:c>
      <x:c r="W25" s="5" t="str"/>
    </x:row>
    <x:row r="26" ht="47" customHeight="1">
      <x:c r="A26" s="5" t="str">
        <x:v>SDL-SM-10-01</x:v>
      </x:c>
      <x:c r="B26" s="5" t="str">
        <x:v>SM-10</x:v>
      </x:c>
      <x:c r="C26" s="5" t="str">
        <x:v>Custom supplier components</x:v>
      </x:c>
      <x:c r="D26" s="5" t="str">
        <x:v>Require compliant development lifecycle processes for security-relevant third-party components developed specifically for this product</x:v>
      </x:c>
      <x:c r="E26" s="5" t="str">
        <x:v>Mandatory</x:v>
      </x:c>
      <x:c r="F26" s="5" t="str">
        <x:v>In-scope product</x:v>
      </x:c>
      <x:c r="G26" s="5" t="str"/>
      <x:c r="H26" s="5" t="str">
        <x:v>5.12.1</x:v>
      </x:c>
      <x:c r="I26" s="5" t="str">
        <x:v>26-27</x:v>
      </x:c>
      <x:c r="J26" s="5" t="str">
        <x:v>24,25</x:v>
      </x:c>
      <x:c r="K26" s="5" t="str">
        <x:v>Controlled SDL processes, roles, training, supplier risk, issue and release records; see output/IEC_security_review_2026-10-26.md</x:v>
      </x:c>
      <x:c r="L26" s="5" t="str">
        <x:v>HiTEKS product/security lead</x:v>
      </x:c>
      <x:c r="M26" s="5" t="str">
        <x:v>Not demonstrated</x:v>
      </x:c>
      <x:c r="N26" s="5" t="str">
        <x:v>Not demonstrated</x:v>
      </x:c>
      <x:c r="O26" s="5" t="str">
        <x:v>Approved procedure and executed release records, with named reviewers and disposition of findings. Verify: Require compliant development lifecycle processes for security-relevant third-party components developed specifically for this product.</x:v>
      </x:c>
      <x:c r="P26" s="10" t="str"/>
      <x:c r="Q26" s="10" t="str">
        <x:v>Open</x:v>
      </x:c>
      <x:c r="R26" s="10" t="str"/>
      <x:c r="S26" s="10" t="str"/>
      <x:c r="T26" s="10" t="str"/>
      <x:c r="U26" s="5" t="str">
        <x:f>IF(Q26="Closed",IF(AND(R26&lt;&gt;"",S26&lt;&gt;""),"Closed recorded","Missing evidence/reviewer"),IF(Q26="N/A approved",IF(AND(T26&lt;&gt;"",S26&lt;&gt;""),"N/A recorded","Missing applicability approval"),"Open"))</x:f>
        <x:v>Open</x:v>
      </x:c>
      <x:c r="V26" s="5" t="str">
        <x:v>Normativa/IEC 62443-4-1 2018.pdf</x:v>
      </x:c>
      <x:c r="W26" s="5" t="str"/>
    </x:row>
    <x:row r="27" ht="47" customHeight="1">
      <x:c r="A27" s="5" t="str">
        <x:v>SDL-SM-11-01</x:v>
      </x:c>
      <x:c r="B27" s="5" t="str">
        <x:v>SM-11</x:v>
      </x:c>
      <x:c r="C27" s="5" t="str">
        <x:v>Security issue release gate</x:v>
      </x:c>
      <x:c r="D27" s="5" t="str">
        <x:v>Do not release product or patch until security issues from requirements, design, implementation, verification and defect management have been addressed and tracked to closure</x:v>
      </x:c>
      <x:c r="E27" s="5" t="str">
        <x:v>Mandatory</x:v>
      </x:c>
      <x:c r="F27" s="5" t="str">
        <x:v>In-scope product</x:v>
      </x:c>
      <x:c r="G27" s="5" t="str"/>
      <x:c r="H27" s="5" t="str">
        <x:v>5.13.1</x:v>
      </x:c>
      <x:c r="I27" s="5" t="str">
        <x:v>27</x:v>
      </x:c>
      <x:c r="J27" s="5" t="str">
        <x:v>25</x:v>
      </x:c>
      <x:c r="K27" s="5" t="str">
        <x:v>Controlled SDL processes, roles, training, supplier risk, issue and release records; see output/IEC_security_review_2026-10-26.md</x:v>
      </x:c>
      <x:c r="L27" s="5" t="str">
        <x:v>HiTEKS product/security lead</x:v>
      </x:c>
      <x:c r="M27" s="5" t="str">
        <x:v>Not demonstrated</x:v>
      </x:c>
      <x:c r="N27" s="5" t="str">
        <x:v>Not demonstrated</x:v>
      </x:c>
      <x:c r="O27" s="5" t="str">
        <x:v>Approved procedure and executed release records, with named reviewers and disposition of findings. Verify: Do not release product or patch until security issues from requirements, design, implementation, verification and defect management have been addressed and tracked to closure.</x:v>
      </x:c>
      <x:c r="P27" s="10" t="str"/>
      <x:c r="Q27" s="10" t="str">
        <x:v>Open</x:v>
      </x:c>
      <x:c r="R27" s="10" t="str"/>
      <x:c r="S27" s="10" t="str"/>
      <x:c r="T27" s="10" t="str"/>
      <x:c r="U27" s="5" t="str">
        <x:f>IF(Q27="Closed",IF(AND(R27&lt;&gt;"",S27&lt;&gt;""),"Closed recorded","Missing evidence/reviewer"),IF(Q27="N/A approved",IF(AND(T27&lt;&gt;"",S27&lt;&gt;""),"N/A recorded","Missing applicability approval"),"Open"))</x:f>
        <x:v>Open</x:v>
      </x:c>
      <x:c r="V27" s="5" t="str">
        <x:v>Normativa/IEC 62443-4-1 2018.pdf</x:v>
      </x:c>
      <x:c r="W27" s="5" t="str"/>
    </x:row>
    <x:row r="28" ht="36" customHeight="1">
      <x:c r="A28" s="5" t="str">
        <x:v>SDL-SM-12-01</x:v>
      </x:c>
      <x:c r="B28" s="5" t="str">
        <x:v>SM-12</x:v>
      </x:c>
      <x:c r="C28" s="5" t="str">
        <x:v>Process completion gate</x:v>
      </x:c>
      <x:c r="D28" s="5" t="str">
        <x:v>Before release verify completion of every applicable SDL process</x:v>
      </x:c>
      <x:c r="E28" s="5" t="str">
        <x:v>Mandatory</x:v>
      </x:c>
      <x:c r="F28" s="5" t="str">
        <x:v>In-scope product</x:v>
      </x:c>
      <x:c r="G28" s="5" t="str"/>
      <x:c r="H28" s="5" t="str">
        <x:v>5.14.1</x:v>
      </x:c>
      <x:c r="I28" s="5" t="str">
        <x:v>27</x:v>
      </x:c>
      <x:c r="J28" s="5" t="str">
        <x:v>25</x:v>
      </x:c>
      <x:c r="K28" s="5" t="str">
        <x:v>Controlled SDL processes, roles, training, supplier risk, issue and release records; see output/IEC_security_review_2026-10-26.md</x:v>
      </x:c>
      <x:c r="L28" s="5" t="str">
        <x:v>HiTEKS product/security lead</x:v>
      </x:c>
      <x:c r="M28" s="5" t="str">
        <x:v>Not demonstrated</x:v>
      </x:c>
      <x:c r="N28" s="5" t="str">
        <x:v>Not demonstrated</x:v>
      </x:c>
      <x:c r="O28" s="5" t="str">
        <x:v>Approved procedure and executed release records, with named reviewers and disposition of findings. Verify: Before release verify completion of every applicable SDL process.</x:v>
      </x:c>
      <x:c r="P28" s="10" t="str"/>
      <x:c r="Q28" s="10" t="str">
        <x:v>Open</x:v>
      </x:c>
      <x:c r="R28" s="10" t="str"/>
      <x:c r="S28" s="10" t="str"/>
      <x:c r="T28" s="10" t="str"/>
      <x:c r="U28" s="5" t="str">
        <x:f>IF(Q28="Closed",IF(AND(R28&lt;&gt;"",S28&lt;&gt;""),"Closed recorded","Missing evidence/reviewer"),IF(Q28="N/A approved",IF(AND(T28&lt;&gt;"",S28&lt;&gt;""),"N/A recorded","Missing applicability approval"),"Open"))</x:f>
        <x:v>Open</x:v>
      </x:c>
      <x:c r="V28" s="5" t="str">
        <x:v>Normativa/IEC 62443-4-1 2018.pdf</x:v>
      </x:c>
      <x:c r="W28" s="5" t="str"/>
    </x:row>
    <x:row r="29" ht="36" customHeight="1">
      <x:c r="A29" s="5" t="str">
        <x:v>SDL-SM-12-02</x:v>
      </x:c>
      <x:c r="B29" s="5" t="str">
        <x:v>SM-12</x:v>
      </x:c>
      <x:c r="C29" s="5" t="str">
        <x:v>Process completion gate</x:v>
      </x:c>
      <x:c r="D29" s="5" t="str">
        <x:v>Retain records showing that completion</x:v>
      </x:c>
      <x:c r="E29" s="5" t="str">
        <x:v>Mandatory</x:v>
      </x:c>
      <x:c r="F29" s="5" t="str">
        <x:v>In-scope product</x:v>
      </x:c>
      <x:c r="G29" s="5" t="str"/>
      <x:c r="H29" s="5" t="str">
        <x:v>5.14.1</x:v>
      </x:c>
      <x:c r="I29" s="5" t="str">
        <x:v>27</x:v>
      </x:c>
      <x:c r="J29" s="5" t="str">
        <x:v>25</x:v>
      </x:c>
      <x:c r="K29" s="5" t="str">
        <x:v>Controlled SDL processes, roles, training, supplier risk, issue and release records; see output/IEC_security_review_2026-10-26.md</x:v>
      </x:c>
      <x:c r="L29" s="5" t="str">
        <x:v>HiTEKS product/security lead</x:v>
      </x:c>
      <x:c r="M29" s="5" t="str">
        <x:v>Not demonstrated</x:v>
      </x:c>
      <x:c r="N29" s="5" t="str">
        <x:v>Not demonstrated</x:v>
      </x:c>
      <x:c r="O29" s="5" t="str">
        <x:v>Approved procedure and executed release records, with named reviewers and disposition of findings. Verify: Retain records showing that completion.</x:v>
      </x:c>
      <x:c r="P29" s="10" t="str"/>
      <x:c r="Q29" s="10" t="str">
        <x:v>Open</x:v>
      </x:c>
      <x:c r="R29" s="10" t="str"/>
      <x:c r="S29" s="10" t="str"/>
      <x:c r="T29" s="10" t="str"/>
      <x:c r="U29" s="5" t="str">
        <x:f>IF(Q29="Closed",IF(AND(R29&lt;&gt;"",S29&lt;&gt;""),"Closed recorded","Missing evidence/reviewer"),IF(Q29="N/A approved",IF(AND(T29&lt;&gt;"",S29&lt;&gt;""),"N/A recorded","Missing applicability approval"),"Open"))</x:f>
        <x:v>Open</x:v>
      </x:c>
      <x:c r="V29" s="5" t="str">
        <x:v>Normativa/IEC 62443-4-1 2018.pdf</x:v>
      </x:c>
      <x:c r="W29" s="5" t="str"/>
    </x:row>
    <x:row r="30" ht="36" customHeight="1">
      <x:c r="A30" s="5" t="str">
        <x:v>SDL-SM-13-01</x:v>
      </x:c>
      <x:c r="B30" s="5" t="str">
        <x:v>SM-13</x:v>
      </x:c>
      <x:c r="C30" s="5" t="str">
        <x:v>SDL improvement</x:v>
      </x:c>
      <x:c r="D30" s="5" t="str">
        <x:v>Continuously improve the SDL</x:v>
      </x:c>
      <x:c r="E30" s="5" t="str">
        <x:v>Mandatory</x:v>
      </x:c>
      <x:c r="F30" s="5" t="str">
        <x:v>In-scope product</x:v>
      </x:c>
      <x:c r="G30" s="5" t="str"/>
      <x:c r="H30" s="5" t="str">
        <x:v>5.15.1</x:v>
      </x:c>
      <x:c r="I30" s="5" t="str">
        <x:v>27-28</x:v>
      </x:c>
      <x:c r="J30" s="5" t="str">
        <x:v>25,26</x:v>
      </x:c>
      <x:c r="K30" s="5" t="str">
        <x:v>Controlled SDL processes, roles, training, supplier risk, issue and release records; see output/IEC_security_review_2026-10-26.md</x:v>
      </x:c>
      <x:c r="L30" s="5" t="str">
        <x:v>HiTEKS product/security lead</x:v>
      </x:c>
      <x:c r="M30" s="5" t="str">
        <x:v>Not demonstrated</x:v>
      </x:c>
      <x:c r="N30" s="5" t="str">
        <x:v>Not demonstrated</x:v>
      </x:c>
      <x:c r="O30" s="5" t="str">
        <x:v>Approved procedure and executed release records, with named reviewers and disposition of findings. Verify: Continuously improve the SDL.</x:v>
      </x:c>
      <x:c r="P30" s="10" t="str"/>
      <x:c r="Q30" s="10" t="str">
        <x:v>Open</x:v>
      </x:c>
      <x:c r="R30" s="10" t="str"/>
      <x:c r="S30" s="10" t="str"/>
      <x:c r="T30" s="10" t="str"/>
      <x:c r="U30" s="5" t="str">
        <x:f>IF(Q30="Closed",IF(AND(R30&lt;&gt;"",S30&lt;&gt;""),"Closed recorded","Missing evidence/reviewer"),IF(Q30="N/A approved",IF(AND(T30&lt;&gt;"",S30&lt;&gt;""),"N/A recorded","Missing applicability approval"),"Open"))</x:f>
        <x:v>Open</x:v>
      </x:c>
      <x:c r="V30" s="5" t="str">
        <x:v>Normativa/IEC 62443-4-1 2018.pdf</x:v>
      </x:c>
      <x:c r="W30" s="5" t="str"/>
    </x:row>
    <x:row r="31" ht="47" customHeight="1">
      <x:c r="A31" s="5" t="str">
        <x:v>SDL-SM-13-02</x:v>
      </x:c>
      <x:c r="B31" s="5" t="str">
        <x:v>SM-13</x:v>
      </x:c>
      <x:c r="C31" s="5" t="str">
        <x:v>SDL improvement</x:v>
      </x:c>
      <x:c r="D31" s="5" t="str">
        <x:v>Analyze security defects in component, subsystem and system technologies that escape into the field</x:v>
      </x:c>
      <x:c r="E31" s="5" t="str">
        <x:v>Mandatory</x:v>
      </x:c>
      <x:c r="F31" s="5" t="str">
        <x:v>In-scope product</x:v>
      </x:c>
      <x:c r="G31" s="5" t="str"/>
      <x:c r="H31" s="5" t="str">
        <x:v>5.15.1</x:v>
      </x:c>
      <x:c r="I31" s="5" t="str">
        <x:v>27-28</x:v>
      </x:c>
      <x:c r="J31" s="5" t="str">
        <x:v>25,26</x:v>
      </x:c>
      <x:c r="K31" s="5" t="str">
        <x:v>Controlled SDL processes, roles, training, supplier risk, issue and release records; see output/IEC_security_review_2026-10-26.md</x:v>
      </x:c>
      <x:c r="L31" s="5" t="str">
        <x:v>HiTEKS product/security lead</x:v>
      </x:c>
      <x:c r="M31" s="5" t="str">
        <x:v>Not demonstrated</x:v>
      </x:c>
      <x:c r="N31" s="5" t="str">
        <x:v>Not demonstrated</x:v>
      </x:c>
      <x:c r="O31" s="5" t="str">
        <x:v>Approved procedure and executed release records, with named reviewers and disposition of findings. Verify: Analyze security defects in component, subsystem and system technologies that escape into the field.</x:v>
      </x:c>
      <x:c r="P31" s="10" t="str"/>
      <x:c r="Q31" s="10" t="str">
        <x:v>Open</x:v>
      </x:c>
      <x:c r="R31" s="10" t="str"/>
      <x:c r="S31" s="10" t="str"/>
      <x:c r="T31" s="10" t="str"/>
      <x:c r="U31" s="5" t="str">
        <x:f>IF(Q31="Closed",IF(AND(R31&lt;&gt;"",S31&lt;&gt;""),"Closed recorded","Missing evidence/reviewer"),IF(Q31="N/A approved",IF(AND(T31&lt;&gt;"",S31&lt;&gt;""),"N/A recorded","Missing applicability approval"),"Open"))</x:f>
        <x:v>Open</x:v>
      </x:c>
      <x:c r="V31" s="5" t="str">
        <x:v>Normativa/IEC 62443-4-1 2018.pdf</x:v>
      </x:c>
      <x:c r="W31" s="5" t="str"/>
    </x:row>
    <x:row r="32" ht="36" customHeight="1">
      <x:c r="A32" s="5" t="str">
        <x:v>SDL-SR-1-01</x:v>
      </x:c>
      <x:c r="B32" s="5" t="str">
        <x:v>SR-1</x:v>
      </x:c>
      <x:c r="C32" s="5" t="str">
        <x:v>Security context</x:v>
      </x:c>
      <x:c r="D32" s="5" t="str">
        <x:v>Document the intended product security context and environment assumptions</x:v>
      </x:c>
      <x:c r="E32" s="5" t="str">
        <x:v>Mandatory</x:v>
      </x:c>
      <x:c r="F32" s="5" t="str">
        <x:v>In-scope product</x:v>
      </x:c>
      <x:c r="G32" s="5" t="str"/>
      <x:c r="H32" s="5" t="str">
        <x:v>6.2.1</x:v>
      </x:c>
      <x:c r="I32" s="5" t="str">
        <x:v>29</x:v>
      </x:c>
      <x:c r="J32" s="5" t="str">
        <x:v>27</x:v>
      </x:c>
      <x:c r="K32" s="5" t="str">
        <x:v>Architecture/CCI_Runtime_Dataflow_Architecture.md; Architecture/Software_Architecture.md; knowledge-base/08-engineering/CCI_62443_Zones.md</x:v>
      </x:c>
      <x:c r="L32" s="5" t="str">
        <x:v>HiTEKS architect</x:v>
      </x:c>
      <x:c r="M32" s="5" t="str">
        <x:v>Not demonstrated</x:v>
      </x:c>
      <x:c r="N32" s="5" t="str">
        <x:v>Not demonstrated</x:v>
      </x:c>
      <x:c r="O32" s="5" t="str">
        <x:v>Approved design/traceability review; exercise the relevant trust boundary and record residual risks. Verify: Document the intended product security context and environment assumptions.</x:v>
      </x:c>
      <x:c r="P32" s="10" t="str"/>
      <x:c r="Q32" s="10" t="str">
        <x:v>Open</x:v>
      </x:c>
      <x:c r="R32" s="10" t="str"/>
      <x:c r="S32" s="10" t="str"/>
      <x:c r="T32" s="10" t="str"/>
      <x:c r="U32" s="5" t="str">
        <x:f>IF(Q32="Closed",IF(AND(R32&lt;&gt;"",S32&lt;&gt;""),"Closed recorded","Missing evidence/reviewer"),IF(Q32="N/A approved",IF(AND(T32&lt;&gt;"",S32&lt;&gt;""),"N/A recorded","Missing applicability approval"),"Open"))</x:f>
        <x:v>Open</x:v>
      </x:c>
      <x:c r="V32" s="5" t="str">
        <x:v>Normativa/IEC 62443-4-1 2018.pdf</x:v>
      </x:c>
      <x:c r="W32" s="5" t="str"/>
    </x:row>
    <x:row r="33" ht="36" customHeight="1">
      <x:c r="A33" s="5" t="str">
        <x:v>SDL-SR-2-01</x:v>
      </x:c>
      <x:c r="B33" s="5" t="str">
        <x:v>SR-2</x:v>
      </x:c>
      <x:c r="C33" s="5" t="str">
        <x:v>Threat model</x:v>
      </x:c>
      <x:c r="D33" s="5" t="str">
        <x:v>Maintain a threat model for the current development scope</x:v>
      </x:c>
      <x:c r="E33" s="5" t="str">
        <x:v>Mandatory</x:v>
      </x:c>
      <x:c r="F33" s="5" t="str">
        <x:v>In-scope product</x:v>
      </x:c>
      <x:c r="G33" s="5" t="str"/>
      <x:c r="H33" s="5" t="str">
        <x:v>6.3.1</x:v>
      </x:c>
      <x:c r="I33" s="5" t="str">
        <x:v>29-30</x:v>
      </x:c>
      <x:c r="J33" s="5" t="str">
        <x:v>27,28</x:v>
      </x:c>
      <x:c r="K33" s="5" t="str">
        <x:v>Architecture/CCI_Runtime_Dataflow_Architecture.md; Architecture/Software_Architecture.md; knowledge-base/08-engineering/CCI_62443_Zones.md</x:v>
      </x:c>
      <x:c r="L33" s="5" t="str">
        <x:v>HiTEKS architect</x:v>
      </x:c>
      <x:c r="M33" s="5" t="str">
        <x:v>Not demonstrated</x:v>
      </x:c>
      <x:c r="N33" s="5" t="str">
        <x:v>Not demonstrated</x:v>
      </x:c>
      <x:c r="O33" s="5" t="str">
        <x:v>Approved design/traceability review; exercise the relevant trust boundary and record residual risks. Verify: Maintain a threat model for the current development scope.</x:v>
      </x:c>
      <x:c r="P33" s="10" t="str"/>
      <x:c r="Q33" s="10" t="str">
        <x:v>Open</x:v>
      </x:c>
      <x:c r="R33" s="10" t="str"/>
      <x:c r="S33" s="10" t="str"/>
      <x:c r="T33" s="10" t="str"/>
      <x:c r="U33" s="5" t="str">
        <x:f>IF(Q33="Closed",IF(AND(R33&lt;&gt;"",S33&lt;&gt;""),"Closed recorded","Missing evidence/reviewer"),IF(Q33="N/A approved",IF(AND(T33&lt;&gt;"",S33&lt;&gt;""),"N/A recorded","Missing applicability approval"),"Open"))</x:f>
        <x:v>Open</x:v>
      </x:c>
      <x:c r="V33" s="5" t="str">
        <x:v>Normativa/IEC 62443-4-1 2018.pdf</x:v>
      </x:c>
      <x:c r="W33" s="5" t="str"/>
    </x:row>
    <x:row r="34" ht="47" customHeight="1">
      <x:c r="A34" s="5" t="str">
        <x:v>SDL-SR-2-02</x:v>
      </x:c>
      <x:c r="B34" s="5" t="str">
        <x:v>SR-2</x:v>
      </x:c>
      <x:c r="C34" s="5" t="str">
        <x:v>Threat model</x:v>
      </x:c>
      <x:c r="D34" s="5" t="str">
        <x:v>Include categorized information flows, trust boundaries, processes, data stores and external entities where applicable</x:v>
      </x:c>
      <x:c r="E34" s="5" t="str">
        <x:v>Mandatory</x:v>
      </x:c>
      <x:c r="F34" s="5" t="str">
        <x:v>In-scope product</x:v>
      </x:c>
      <x:c r="G34" s="5" t="str"/>
      <x:c r="H34" s="5" t="str">
        <x:v>6.3.1</x:v>
      </x:c>
      <x:c r="I34" s="5" t="str">
        <x:v>29-30</x:v>
      </x:c>
      <x:c r="J34" s="5" t="str">
        <x:v>27,28</x:v>
      </x:c>
      <x:c r="K34" s="5" t="str">
        <x:v>Architecture/CCI_Runtime_Dataflow_Architecture.md; Architecture/Software_Architecture.md; knowledge-base/08-engineering/CCI_62443_Zones.md</x:v>
      </x:c>
      <x:c r="L34" s="5" t="str">
        <x:v>HiTEKS architect</x:v>
      </x:c>
      <x:c r="M34" s="5" t="str">
        <x:v>Not demonstrated</x:v>
      </x:c>
      <x:c r="N34" s="5" t="str">
        <x:v>Not demonstrated</x:v>
      </x:c>
      <x:c r="O34" s="5" t="str">
        <x:v>Approved design/traceability review; exercise the relevant trust boundary and record residual risks. Verify: Include categorized information flows, trust boundaries, processes, data stores and external entities where applicable.</x:v>
      </x:c>
      <x:c r="P34" s="10" t="str"/>
      <x:c r="Q34" s="10" t="str">
        <x:v>Open</x:v>
      </x:c>
      <x:c r="R34" s="10" t="str"/>
      <x:c r="S34" s="10" t="str"/>
      <x:c r="T34" s="10" t="str"/>
      <x:c r="U34" s="5" t="str">
        <x:f>IF(Q34="Closed",IF(AND(R34&lt;&gt;"",S34&lt;&gt;""),"Closed recorded","Missing evidence/reviewer"),IF(Q34="N/A approved",IF(AND(T34&lt;&gt;"",S34&lt;&gt;""),"N/A recorded","Missing applicability approval"),"Open"))</x:f>
        <x:v>Open</x:v>
      </x:c>
      <x:c r="V34" s="5" t="str">
        <x:v>Normativa/IEC 62443-4-1 2018.pdf</x:v>
      </x:c>
      <x:c r="W34" s="5" t="str"/>
    </x:row>
    <x:row r="35" ht="47" customHeight="1">
      <x:c r="A35" s="5" t="str">
        <x:v>SDL-SR-2-03</x:v>
      </x:c>
      <x:c r="B35" s="5" t="str">
        <x:v>SR-2</x:v>
      </x:c>
      <x:c r="C35" s="5" t="str">
        <x:v>Threat model</x:v>
      </x:c>
      <x:c r="D35" s="5" t="str">
        <x:v>Include internal/external protocols, exposed physical ports, debug headers and board connections where applicable</x:v>
      </x:c>
      <x:c r="E35" s="5" t="str">
        <x:v>Mandatory</x:v>
      </x:c>
      <x:c r="F35" s="5" t="str">
        <x:v>In-scope product</x:v>
      </x:c>
      <x:c r="G35" s="5" t="str"/>
      <x:c r="H35" s="5" t="str">
        <x:v>6.3.1</x:v>
      </x:c>
      <x:c r="I35" s="5" t="str">
        <x:v>29-30</x:v>
      </x:c>
      <x:c r="J35" s="5" t="str">
        <x:v>27,28</x:v>
      </x:c>
      <x:c r="K35" s="5" t="str">
        <x:v>Architecture/CCI_Runtime_Dataflow_Architecture.md; Architecture/Software_Architecture.md; knowledge-base/08-engineering/CCI_62443_Zones.md</x:v>
      </x:c>
      <x:c r="L35" s="5" t="str">
        <x:v>HiTEKS architect</x:v>
      </x:c>
      <x:c r="M35" s="5" t="str">
        <x:v>Not demonstrated</x:v>
      </x:c>
      <x:c r="N35" s="5" t="str">
        <x:v>Not demonstrated</x:v>
      </x:c>
      <x:c r="O35" s="5" t="str">
        <x:v>Approved design/traceability review; exercise the relevant trust boundary and record residual risks. Verify: Include internal/external protocols, exposed physical ports, debug headers and board connections where applicable.</x:v>
      </x:c>
      <x:c r="P35" s="10" t="str"/>
      <x:c r="Q35" s="10" t="str">
        <x:v>Open</x:v>
      </x:c>
      <x:c r="R35" s="10" t="str"/>
      <x:c r="S35" s="10" t="str"/>
      <x:c r="T35" s="10" t="str"/>
      <x:c r="U35" s="5" t="str">
        <x:f>IF(Q35="Closed",IF(AND(R35&lt;&gt;"",S35&lt;&gt;""),"Closed recorded","Missing evidence/reviewer"),IF(Q35="N/A approved",IF(AND(T35&lt;&gt;"",S35&lt;&gt;""),"N/A recorded","Missing applicability approval"),"Open"))</x:f>
        <x:v>Open</x:v>
      </x:c>
      <x:c r="V35" s="5" t="str">
        <x:v>Normativa/IEC 62443-4-1 2018.pdf</x:v>
      </x:c>
      <x:c r="W35" s="5" t="str"/>
    </x:row>
    <x:row r="36" ht="47" customHeight="1">
      <x:c r="A36" s="5" t="str">
        <x:v>SDL-SR-2-04</x:v>
      </x:c>
      <x:c r="B36" s="5" t="str">
        <x:v>SR-2</x:v>
      </x:c>
      <x:c r="C36" s="5" t="str">
        <x:v>Threat model</x:v>
      </x:c>
      <x:c r="D36" s="5" t="str">
        <x:v>Identify hardware/software attack vectors, threats and severity using a vulnerability scoring system</x:v>
      </x:c>
      <x:c r="E36" s="5" t="str">
        <x:v>Mandatory</x:v>
      </x:c>
      <x:c r="F36" s="5" t="str">
        <x:v>In-scope product</x:v>
      </x:c>
      <x:c r="G36" s="5" t="str"/>
      <x:c r="H36" s="5" t="str">
        <x:v>6.3.1</x:v>
      </x:c>
      <x:c r="I36" s="5" t="str">
        <x:v>29-30</x:v>
      </x:c>
      <x:c r="J36" s="5" t="str">
        <x:v>27,28</x:v>
      </x:c>
      <x:c r="K36" s="5" t="str">
        <x:v>Architecture/CCI_Runtime_Dataflow_Architecture.md; Architecture/Software_Architecture.md; knowledge-base/08-engineering/CCI_62443_Zones.md</x:v>
      </x:c>
      <x:c r="L36" s="5" t="str">
        <x:v>HiTEKS architect</x:v>
      </x:c>
      <x:c r="M36" s="5" t="str">
        <x:v>Not demonstrated</x:v>
      </x:c>
      <x:c r="N36" s="5" t="str">
        <x:v>Not demonstrated</x:v>
      </x:c>
      <x:c r="O36" s="5" t="str">
        <x:v>Approved design/traceability review; exercise the relevant trust boundary and record residual risks. Verify: Identify hardware/software attack vectors, threats and severity using a vulnerability scoring system.</x:v>
      </x:c>
      <x:c r="P36" s="10" t="str"/>
      <x:c r="Q36" s="10" t="str">
        <x:v>Open</x:v>
      </x:c>
      <x:c r="R36" s="10" t="str"/>
      <x:c r="S36" s="10" t="str"/>
      <x:c r="T36" s="10" t="str"/>
      <x:c r="U36" s="5" t="str">
        <x:f>IF(Q36="Closed",IF(AND(R36&lt;&gt;"",S36&lt;&gt;""),"Closed recorded","Missing evidence/reviewer"),IF(Q36="N/A approved",IF(AND(T36&lt;&gt;"",S36&lt;&gt;""),"N/A recorded","Missing applicability approval"),"Open"))</x:f>
        <x:v>Open</x:v>
      </x:c>
      <x:c r="V36" s="5" t="str">
        <x:v>Normativa/IEC 62443-4-1 2018.pdf</x:v>
      </x:c>
      <x:c r="W36" s="5" t="str"/>
    </x:row>
    <x:row r="37" ht="36" customHeight="1">
      <x:c r="A37" s="5" t="str">
        <x:v>SDL-SR-2-05</x:v>
      </x:c>
      <x:c r="B37" s="5" t="str">
        <x:v>SR-2</x:v>
      </x:c>
      <x:c r="C37" s="5" t="str">
        <x:v>Threat model</x:v>
      </x:c>
      <x:c r="D37" s="5" t="str">
        <x:v>Record mitigations or dispositions, security issues and external dependencies</x:v>
      </x:c>
      <x:c r="E37" s="5" t="str">
        <x:v>Mandatory</x:v>
      </x:c>
      <x:c r="F37" s="5" t="str">
        <x:v>In-scope product</x:v>
      </x:c>
      <x:c r="G37" s="5" t="str"/>
      <x:c r="H37" s="5" t="str">
        <x:v>6.3.1</x:v>
      </x:c>
      <x:c r="I37" s="5" t="str">
        <x:v>29-30</x:v>
      </x:c>
      <x:c r="J37" s="5" t="str">
        <x:v>27,28</x:v>
      </x:c>
      <x:c r="K37" s="5" t="str">
        <x:v>Architecture/CCI_Runtime_Dataflow_Architecture.md; Architecture/Software_Architecture.md; knowledge-base/08-engineering/CCI_62443_Zones.md</x:v>
      </x:c>
      <x:c r="L37" s="5" t="str">
        <x:v>HiTEKS architect</x:v>
      </x:c>
      <x:c r="M37" s="5" t="str">
        <x:v>Not demonstrated</x:v>
      </x:c>
      <x:c r="N37" s="5" t="str">
        <x:v>Not demonstrated</x:v>
      </x:c>
      <x:c r="O37" s="5" t="str">
        <x:v>Approved design/traceability review; exercise the relevant trust boundary and record residual risks. Verify: Record mitigations or dispositions, security issues and external dependencies.</x:v>
      </x:c>
      <x:c r="P37" s="10" t="str"/>
      <x:c r="Q37" s="10" t="str">
        <x:v>Open</x:v>
      </x:c>
      <x:c r="R37" s="10" t="str"/>
      <x:c r="S37" s="10" t="str"/>
      <x:c r="T37" s="10" t="str"/>
      <x:c r="U37" s="5" t="str">
        <x:f>IF(Q37="Closed",IF(AND(R37&lt;&gt;"",S37&lt;&gt;""),"Closed recorded","Missing evidence/reviewer"),IF(Q37="N/A approved",IF(AND(T37&lt;&gt;"",S37&lt;&gt;""),"N/A recorded","Missing applicability approval"),"Open"))</x:f>
        <x:v>Open</x:v>
      </x:c>
      <x:c r="V37" s="5" t="str">
        <x:v>Normativa/IEC 62443-4-1 2018.pdf</x:v>
      </x:c>
      <x:c r="W37" s="5" t="str"/>
    </x:row>
    <x:row r="38" ht="36" customHeight="1">
      <x:c r="A38" s="5" t="str">
        <x:v>SDL-SR-2-06</x:v>
      </x:c>
      <x:c r="B38" s="5" t="str">
        <x:v>SR-2</x:v>
      </x:c>
      <x:c r="C38" s="5" t="str">
        <x:v>Threat model</x:v>
      </x:c>
      <x:c r="D38" s="5" t="str">
        <x:v>Have the development team review and verify the model</x:v>
      </x:c>
      <x:c r="E38" s="5" t="str">
        <x:v>Mandatory</x:v>
      </x:c>
      <x:c r="F38" s="5" t="str">
        <x:v>In-scope product</x:v>
      </x:c>
      <x:c r="G38" s="5" t="str"/>
      <x:c r="H38" s="5" t="str">
        <x:v>6.3.1</x:v>
      </x:c>
      <x:c r="I38" s="5" t="str">
        <x:v>29-30</x:v>
      </x:c>
      <x:c r="J38" s="5" t="str">
        <x:v>27,28</x:v>
      </x:c>
      <x:c r="K38" s="5" t="str">
        <x:v>Architecture/CCI_Runtime_Dataflow_Architecture.md; Architecture/Software_Architecture.md; knowledge-base/08-engineering/CCI_62443_Zones.md</x:v>
      </x:c>
      <x:c r="L38" s="5" t="str">
        <x:v>HiTEKS architect</x:v>
      </x:c>
      <x:c r="M38" s="5" t="str">
        <x:v>Not demonstrated</x:v>
      </x:c>
      <x:c r="N38" s="5" t="str">
        <x:v>Not demonstrated</x:v>
      </x:c>
      <x:c r="O38" s="5" t="str">
        <x:v>Approved design/traceability review; exercise the relevant trust boundary and record residual risks. Verify: Have the development team review and verify the model.</x:v>
      </x:c>
      <x:c r="P38" s="10" t="str"/>
      <x:c r="Q38" s="10" t="str">
        <x:v>Open</x:v>
      </x:c>
      <x:c r="R38" s="10" t="str"/>
      <x:c r="S38" s="10" t="str"/>
      <x:c r="T38" s="10" t="str"/>
      <x:c r="U38" s="5" t="str">
        <x:f>IF(Q38="Closed",IF(AND(R38&lt;&gt;"",S38&lt;&gt;""),"Closed recorded","Missing evidence/reviewer"),IF(Q38="N/A approved",IF(AND(T38&lt;&gt;"",S38&lt;&gt;""),"N/A recorded","Missing applicability approval"),"Open"))</x:f>
        <x:v>Open</x:v>
      </x:c>
      <x:c r="V38" s="5" t="str">
        <x:v>Normativa/IEC 62443-4-1 2018.pdf</x:v>
      </x:c>
      <x:c r="W38" s="5" t="str"/>
    </x:row>
    <x:row r="39" ht="36" customHeight="1">
      <x:c r="A39" s="5" t="str">
        <x:v>SDL-SR-2-07</x:v>
      </x:c>
      <x:c r="B39" s="5" t="str">
        <x:v>SR-2</x:v>
      </x:c>
      <x:c r="C39" s="5" t="str">
        <x:v>Threat model</x:v>
      </x:c>
      <x:c r="D39" s="5" t="str">
        <x:v>Review released-product models at least annually and update for new threats</x:v>
      </x:c>
      <x:c r="E39" s="5" t="str">
        <x:v>Mandatory</x:v>
      </x:c>
      <x:c r="F39" s="5" t="str">
        <x:v>In-scope product</x:v>
      </x:c>
      <x:c r="G39" s="5" t="str"/>
      <x:c r="H39" s="5" t="str">
        <x:v>6.3.1</x:v>
      </x:c>
      <x:c r="I39" s="5" t="str">
        <x:v>29-30</x:v>
      </x:c>
      <x:c r="J39" s="5" t="str">
        <x:v>27,28</x:v>
      </x:c>
      <x:c r="K39" s="5" t="str">
        <x:v>Architecture/CCI_Runtime_Dataflow_Architecture.md; Architecture/Software_Architecture.md; knowledge-base/08-engineering/CCI_62443_Zones.md</x:v>
      </x:c>
      <x:c r="L39" s="5" t="str">
        <x:v>HiTEKS architect</x:v>
      </x:c>
      <x:c r="M39" s="5" t="str">
        <x:v>Not demonstrated</x:v>
      </x:c>
      <x:c r="N39" s="5" t="str">
        <x:v>Not demonstrated</x:v>
      </x:c>
      <x:c r="O39" s="5" t="str">
        <x:v>Approved design/traceability review; exercise the relevant trust boundary and record residual risks. Verify: Review released-product models at least annually and update for new threats.</x:v>
      </x:c>
      <x:c r="P39" s="10" t="str"/>
      <x:c r="Q39" s="10" t="str">
        <x:v>Open</x:v>
      </x:c>
      <x:c r="R39" s="10" t="str"/>
      <x:c r="S39" s="10" t="str"/>
      <x:c r="T39" s="10" t="str"/>
      <x:c r="U39" s="5" t="str">
        <x:f>IF(Q39="Closed",IF(AND(R39&lt;&gt;"",S39&lt;&gt;""),"Closed recorded","Missing evidence/reviewer"),IF(Q39="N/A approved",IF(AND(T39&lt;&gt;"",S39&lt;&gt;""),"N/A recorded","Missing applicability approval"),"Open"))</x:f>
        <x:v>Open</x:v>
      </x:c>
      <x:c r="V39" s="5" t="str">
        <x:v>Normativa/IEC 62443-4-1 2018.pdf</x:v>
      </x:c>
      <x:c r="W39" s="5" t="str"/>
    </x:row>
    <x:row r="40" ht="36" customHeight="1">
      <x:c r="A40" s="5" t="str">
        <x:v>SDL-SR-2-08</x:v>
      </x:c>
      <x:c r="B40" s="5" t="str">
        <x:v>SR-2</x:v>
      </x:c>
      <x:c r="C40" s="5" t="str">
        <x:v>Threat model</x:v>
      </x:c>
      <x:c r="D40" s="5" t="str">
        <x:v>Assess and resolve identified issues through DM-3 and DM-4</x:v>
      </x:c>
      <x:c r="E40" s="5" t="str">
        <x:v>Mandatory</x:v>
      </x:c>
      <x:c r="F40" s="5" t="str">
        <x:v>In-scope product</x:v>
      </x:c>
      <x:c r="G40" s="5" t="str"/>
      <x:c r="H40" s="5" t="str">
        <x:v>6.3.1</x:v>
      </x:c>
      <x:c r="I40" s="5" t="str">
        <x:v>29-30</x:v>
      </x:c>
      <x:c r="J40" s="5" t="str">
        <x:v>27,28</x:v>
      </x:c>
      <x:c r="K40" s="5" t="str">
        <x:v>Architecture/CCI_Runtime_Dataflow_Architecture.md; Architecture/Software_Architecture.md; knowledge-base/08-engineering/CCI_62443_Zones.md</x:v>
      </x:c>
      <x:c r="L40" s="5" t="str">
        <x:v>HiTEKS architect</x:v>
      </x:c>
      <x:c r="M40" s="5" t="str">
        <x:v>Not demonstrated</x:v>
      </x:c>
      <x:c r="N40" s="5" t="str">
        <x:v>Not demonstrated</x:v>
      </x:c>
      <x:c r="O40" s="5" t="str">
        <x:v>Approved design/traceability review; exercise the relevant trust boundary and record residual risks. Verify: Assess and resolve identified issues through DM-3 and DM-4.</x:v>
      </x:c>
      <x:c r="P40" s="10" t="str"/>
      <x:c r="Q40" s="10" t="str">
        <x:v>Open</x:v>
      </x:c>
      <x:c r="R40" s="10" t="str"/>
      <x:c r="S40" s="10" t="str"/>
      <x:c r="T40" s="10" t="str"/>
      <x:c r="U40" s="5" t="str">
        <x:f>IF(Q40="Closed",IF(AND(R40&lt;&gt;"",S40&lt;&gt;""),"Closed recorded","Missing evidence/reviewer"),IF(Q40="N/A approved",IF(AND(T40&lt;&gt;"",S40&lt;&gt;""),"N/A recorded","Missing applicability approval"),"Open"))</x:f>
        <x:v>Open</x:v>
      </x:c>
      <x:c r="V40" s="5" t="str">
        <x:v>Normativa/IEC 62443-4-1 2018.pdf</x:v>
      </x:c>
      <x:c r="W40" s="5" t="str"/>
    </x:row>
    <x:row r="41" ht="47" customHeight="1">
      <x:c r="A41" s="5" t="str">
        <x:v>SDL-SR-3-01</x:v>
      </x:c>
      <x:c r="B41" s="5" t="str">
        <x:v>SR-3</x:v>
      </x:c>
      <x:c r="C41" s="5" t="str">
        <x:v>Product requirements</x:v>
      </x:c>
      <x:c r="D41" s="5" t="str">
        <x:v>Document product/feature security capabilities for installation, operation, maintenance and decommissioning</x:v>
      </x:c>
      <x:c r="E41" s="5" t="str">
        <x:v>Mandatory</x:v>
      </x:c>
      <x:c r="F41" s="5" t="str">
        <x:v>In-scope product</x:v>
      </x:c>
      <x:c r="G41" s="5" t="str"/>
      <x:c r="H41" s="5" t="str">
        <x:v>6.4.1</x:v>
      </x:c>
      <x:c r="I41" s="5" t="str">
        <x:v>30</x:v>
      </x:c>
      <x:c r="J41" s="5" t="str">
        <x:v>28</x:v>
      </x:c>
      <x:c r="K41" s="5" t="str">
        <x:v>Architecture/CCI_Runtime_Dataflow_Architecture.md; Architecture/Software_Architecture.md; knowledge-base/08-engineering/CCI_62443_Zones.md</x:v>
      </x:c>
      <x:c r="L41" s="5" t="str">
        <x:v>HiTEKS architect</x:v>
      </x:c>
      <x:c r="M41" s="5" t="str">
        <x:v>Not demonstrated</x:v>
      </x:c>
      <x:c r="N41" s="5" t="str">
        <x:v>Not demonstrated</x:v>
      </x:c>
      <x:c r="O41" s="5" t="str">
        <x:v>Approved design/traceability review; exercise the relevant trust boundary and record residual risks. Verify: Document product/feature security capabilities for installation, operation, maintenance and decommissioning.</x:v>
      </x:c>
      <x:c r="P41" s="10" t="str"/>
      <x:c r="Q41" s="10" t="str">
        <x:v>Open</x:v>
      </x:c>
      <x:c r="R41" s="10" t="str"/>
      <x:c r="S41" s="10" t="str"/>
      <x:c r="T41" s="10" t="str"/>
      <x:c r="U41" s="5" t="str">
        <x:f>IF(Q41="Closed",IF(AND(R41&lt;&gt;"",S41&lt;&gt;""),"Closed recorded","Missing evidence/reviewer"),IF(Q41="N/A approved",IF(AND(T41&lt;&gt;"",S41&lt;&gt;""),"N/A recorded","Missing applicability approval"),"Open"))</x:f>
        <x:v>Open</x:v>
      </x:c>
      <x:c r="V41" s="5" t="str">
        <x:v>Normativa/IEC 62443-4-1 2018.pdf</x:v>
      </x:c>
      <x:c r="W41" s="5" t="str"/>
    </x:row>
    <x:row r="42" ht="36" customHeight="1">
      <x:c r="A42" s="5" t="str">
        <x:v>SDL-SR-4-01</x:v>
      </x:c>
      <x:c r="B42" s="5" t="str">
        <x:v>SR-4</x:v>
      </x:c>
      <x:c r="C42" s="5" t="str">
        <x:v>Requirements scope and level</x:v>
      </x:c>
      <x:c r="D42" s="5" t="str">
        <x:v>State physical and logical product scope/boundaries</x:v>
      </x:c>
      <x:c r="E42" s="5" t="str">
        <x:v>Mandatory</x:v>
      </x:c>
      <x:c r="F42" s="5" t="str">
        <x:v>In-scope product</x:v>
      </x:c>
      <x:c r="G42" s="5" t="str"/>
      <x:c r="H42" s="5" t="str">
        <x:v>6.5.1</x:v>
      </x:c>
      <x:c r="I42" s="5" t="str">
        <x:v>31</x:v>
      </x:c>
      <x:c r="J42" s="5" t="str">
        <x:v>29</x:v>
      </x:c>
      <x:c r="K42" s="5" t="str">
        <x:v>Architecture/CCI_Runtime_Dataflow_Architecture.md; Architecture/Software_Architecture.md; knowledge-base/08-engineering/CCI_62443_Zones.md</x:v>
      </x:c>
      <x:c r="L42" s="5" t="str">
        <x:v>HiTEKS architect</x:v>
      </x:c>
      <x:c r="M42" s="5" t="str">
        <x:v>Not demonstrated</x:v>
      </x:c>
      <x:c r="N42" s="5" t="str">
        <x:v>Not demonstrated</x:v>
      </x:c>
      <x:c r="O42" s="5" t="str">
        <x:v>Approved design/traceability review; exercise the relevant trust boundary and record residual risks. Verify: State physical and logical product scope/boundaries.</x:v>
      </x:c>
      <x:c r="P42" s="10" t="str"/>
      <x:c r="Q42" s="10" t="str">
        <x:v>Open</x:v>
      </x:c>
      <x:c r="R42" s="10" t="str"/>
      <x:c r="S42" s="10" t="str"/>
      <x:c r="T42" s="10" t="str"/>
      <x:c r="U42" s="5" t="str">
        <x:f>IF(Q42="Closed",IF(AND(R42&lt;&gt;"",S42&lt;&gt;""),"Closed recorded","Missing evidence/reviewer"),IF(Q42="N/A approved",IF(AND(T42&lt;&gt;"",S42&lt;&gt;""),"N/A recorded","Missing applicability approval"),"Open"))</x:f>
        <x:v>Open</x:v>
      </x:c>
      <x:c r="V42" s="5" t="str">
        <x:v>Normativa/IEC 62443-4-1 2018.pdf</x:v>
      </x:c>
      <x:c r="W42" s="5" t="str"/>
    </x:row>
    <x:row r="43" ht="36" customHeight="1">
      <x:c r="A43" s="5" t="str">
        <x:v>SDL-SR-4-02</x:v>
      </x:c>
      <x:c r="B43" s="5" t="str">
        <x:v>SR-4</x:v>
      </x:c>
      <x:c r="C43" s="5" t="str">
        <x:v>Requirements scope and level</x:v>
      </x:c>
      <x:c r="D43" s="5" t="str">
        <x:v>State required product capability security level SL-C</x:v>
      </x:c>
      <x:c r="E43" s="5" t="str">
        <x:v>Mandatory</x:v>
      </x:c>
      <x:c r="F43" s="5" t="str">
        <x:v>In-scope product</x:v>
      </x:c>
      <x:c r="G43" s="5" t="str"/>
      <x:c r="H43" s="5" t="str">
        <x:v>6.5.1</x:v>
      </x:c>
      <x:c r="I43" s="5" t="str">
        <x:v>31</x:v>
      </x:c>
      <x:c r="J43" s="5" t="str">
        <x:v>29</x:v>
      </x:c>
      <x:c r="K43" s="5" t="str">
        <x:v>Architecture/CCI_Runtime_Dataflow_Architecture.md; Architecture/Software_Architecture.md; knowledge-base/08-engineering/CCI_62443_Zones.md</x:v>
      </x:c>
      <x:c r="L43" s="5" t="str">
        <x:v>HiTEKS architect</x:v>
      </x:c>
      <x:c r="M43" s="5" t="str">
        <x:v>Not demonstrated</x:v>
      </x:c>
      <x:c r="N43" s="5" t="str">
        <x:v>Not demonstrated</x:v>
      </x:c>
      <x:c r="O43" s="5" t="str">
        <x:v>Approved design/traceability review; exercise the relevant trust boundary and record residual risks. Verify: State required product capability security level SL-C.</x:v>
      </x:c>
      <x:c r="P43" s="10" t="str"/>
      <x:c r="Q43" s="10" t="str">
        <x:v>Open</x:v>
      </x:c>
      <x:c r="R43" s="10" t="str"/>
      <x:c r="S43" s="10" t="str"/>
      <x:c r="T43" s="10" t="str"/>
      <x:c r="U43" s="5" t="str">
        <x:f>IF(Q43="Closed",IF(AND(R43&lt;&gt;"",S43&lt;&gt;""),"Closed recorded","Missing evidence/reviewer"),IF(Q43="N/A approved",IF(AND(T43&lt;&gt;"",S43&lt;&gt;""),"N/A recorded","Missing applicability approval"),"Open"))</x:f>
        <x:v>Open</x:v>
      </x:c>
      <x:c r="V43" s="5" t="str">
        <x:v>Normativa/IEC 62443-4-1 2018.pdf</x:v>
      </x:c>
      <x:c r="W43" s="5" t="str"/>
    </x:row>
    <x:row r="44" ht="47" customHeight="1">
      <x:c r="A44" s="5" t="str">
        <x:v>SDL-SR-5-01</x:v>
      </x:c>
      <x:c r="B44" s="5" t="str">
        <x:v>SR-5</x:v>
      </x:c>
      <x:c r="C44" s="5" t="str">
        <x:v>Requirements review</x:v>
      </x:c>
      <x:c r="D44" s="5" t="str">
        <x:v>Review, update and approve requirements for clarity, validity, threat-model alignment and verifiability</x:v>
      </x:c>
      <x:c r="E44" s="5" t="str">
        <x:v>Mandatory</x:v>
      </x:c>
      <x:c r="F44" s="5" t="str">
        <x:v>In-scope product</x:v>
      </x:c>
      <x:c r="G44" s="5" t="str"/>
      <x:c r="H44" s="5" t="str">
        <x:v>6.6.1</x:v>
      </x:c>
      <x:c r="I44" s="5" t="str">
        <x:v>31</x:v>
      </x:c>
      <x:c r="J44" s="5" t="str">
        <x:v>29</x:v>
      </x:c>
      <x:c r="K44" s="5" t="str">
        <x:v>Architecture/CCI_Runtime_Dataflow_Architecture.md; Architecture/Software_Architecture.md; knowledge-base/08-engineering/CCI_62443_Zones.md</x:v>
      </x:c>
      <x:c r="L44" s="5" t="str">
        <x:v>HiTEKS architect</x:v>
      </x:c>
      <x:c r="M44" s="5" t="str">
        <x:v>Not demonstrated</x:v>
      </x:c>
      <x:c r="N44" s="5" t="str">
        <x:v>Not demonstrated</x:v>
      </x:c>
      <x:c r="O44" s="5" t="str">
        <x:v>Approved design/traceability review; exercise the relevant trust boundary and record residual risks. Verify: Review, update and approve requirements for clarity, validity, threat-model alignment and verifiability.</x:v>
      </x:c>
      <x:c r="P44" s="10" t="str"/>
      <x:c r="Q44" s="10" t="str">
        <x:v>Open</x:v>
      </x:c>
      <x:c r="R44" s="10" t="str"/>
      <x:c r="S44" s="10" t="str"/>
      <x:c r="T44" s="10" t="str"/>
      <x:c r="U44" s="5" t="str">
        <x:f>IF(Q44="Closed",IF(AND(R44&lt;&gt;"",S44&lt;&gt;""),"Closed recorded","Missing evidence/reviewer"),IF(Q44="N/A approved",IF(AND(T44&lt;&gt;"",S44&lt;&gt;""),"N/A recorded","Missing applicability approval"),"Open"))</x:f>
        <x:v>Open</x:v>
      </x:c>
      <x:c r="V44" s="5" t="str">
        <x:v>Normativa/IEC 62443-4-1 2018.pdf</x:v>
      </x:c>
      <x:c r="W44" s="5" t="str"/>
    </x:row>
    <x:row r="45" ht="36" customHeight="1">
      <x:c r="A45" s="5" t="str">
        <x:v>SDL-SR-5-02</x:v>
      </x:c>
      <x:c r="B45" s="5" t="str">
        <x:v>SR-5</x:v>
      </x:c>
      <x:c r="C45" s="5" t="str">
        <x:v>Requirements review</x:v>
      </x:c>
      <x:c r="D45" s="5" t="str">
        <x:v>Include architects/developers, independent testers, customer advocate and security advisor</x:v>
      </x:c>
      <x:c r="E45" s="5" t="str">
        <x:v>Mandatory</x:v>
      </x:c>
      <x:c r="F45" s="5" t="str">
        <x:v>In-scope product</x:v>
      </x:c>
      <x:c r="G45" s="5" t="str"/>
      <x:c r="H45" s="5" t="str">
        <x:v>6.6.1</x:v>
      </x:c>
      <x:c r="I45" s="5" t="str">
        <x:v>31</x:v>
      </x:c>
      <x:c r="J45" s="5" t="str">
        <x:v>29</x:v>
      </x:c>
      <x:c r="K45" s="5" t="str">
        <x:v>Architecture/CCI_Runtime_Dataflow_Architecture.md; Architecture/Software_Architecture.md; knowledge-base/08-engineering/CCI_62443_Zones.md</x:v>
      </x:c>
      <x:c r="L45" s="5" t="str">
        <x:v>HiTEKS architect</x:v>
      </x:c>
      <x:c r="M45" s="5" t="str">
        <x:v>Not demonstrated</x:v>
      </x:c>
      <x:c r="N45" s="5" t="str">
        <x:v>Not demonstrated</x:v>
      </x:c>
      <x:c r="O45" s="5" t="str">
        <x:v>Approved design/traceability review; exercise the relevant trust boundary and record residual risks. Verify: Include architects/developers, independent testers, customer advocate and security advisor.</x:v>
      </x:c>
      <x:c r="P45" s="10" t="str"/>
      <x:c r="Q45" s="10" t="str">
        <x:v>Open</x:v>
      </x:c>
      <x:c r="R45" s="10" t="str"/>
      <x:c r="S45" s="10" t="str"/>
      <x:c r="T45" s="10" t="str"/>
      <x:c r="U45" s="5" t="str">
        <x:f>IF(Q45="Closed",IF(AND(R45&lt;&gt;"",S45&lt;&gt;""),"Closed recorded","Missing evidence/reviewer"),IF(Q45="N/A approved",IF(AND(T45&lt;&gt;"",S45&lt;&gt;""),"N/A recorded","Missing applicability approval"),"Open"))</x:f>
        <x:v>Open</x:v>
      </x:c>
      <x:c r="V45" s="5" t="str">
        <x:v>Normativa/IEC 62443-4-1 2018.pdf</x:v>
      </x:c>
      <x:c r="W45" s="5" t="str"/>
    </x:row>
    <x:row r="46" ht="36" customHeight="1">
      <x:c r="A46" s="5" t="str">
        <x:v>SDL-SR-5-03</x:v>
      </x:c>
      <x:c r="B46" s="5" t="str">
        <x:v>SR-5</x:v>
      </x:c>
      <x:c r="C46" s="5" t="str">
        <x:v>Requirements review</x:v>
      </x:c>
      <x:c r="D46" s="5" t="str">
        <x:v>Keep tester independence even when other disciplines share personnel</x:v>
      </x:c>
      <x:c r="E46" s="5" t="str">
        <x:v>Mandatory</x:v>
      </x:c>
      <x:c r="F46" s="5" t="str">
        <x:v>In-scope product</x:v>
      </x:c>
      <x:c r="G46" s="5" t="str"/>
      <x:c r="H46" s="5" t="str">
        <x:v>6.6.1</x:v>
      </x:c>
      <x:c r="I46" s="5" t="str">
        <x:v>31</x:v>
      </x:c>
      <x:c r="J46" s="5" t="str">
        <x:v>29</x:v>
      </x:c>
      <x:c r="K46" s="5" t="str">
        <x:v>Architecture/CCI_Runtime_Dataflow_Architecture.md; Architecture/Software_Architecture.md; knowledge-base/08-engineering/CCI_62443_Zones.md</x:v>
      </x:c>
      <x:c r="L46" s="5" t="str">
        <x:v>HiTEKS architect</x:v>
      </x:c>
      <x:c r="M46" s="5" t="str">
        <x:v>Not demonstrated</x:v>
      </x:c>
      <x:c r="N46" s="5" t="str">
        <x:v>Not demonstrated</x:v>
      </x:c>
      <x:c r="O46" s="5" t="str">
        <x:v>Approved design/traceability review; exercise the relevant trust boundary and record residual risks. Verify: Keep tester independence even when other disciplines share personnel.</x:v>
      </x:c>
      <x:c r="P46" s="10" t="str"/>
      <x:c r="Q46" s="10" t="str">
        <x:v>Open</x:v>
      </x:c>
      <x:c r="R46" s="10" t="str"/>
      <x:c r="S46" s="10" t="str"/>
      <x:c r="T46" s="10" t="str"/>
      <x:c r="U46" s="5" t="str">
        <x:f>IF(Q46="Closed",IF(AND(R46&lt;&gt;"",S46&lt;&gt;""),"Closed recorded","Missing evidence/reviewer"),IF(Q46="N/A approved",IF(AND(T46&lt;&gt;"",S46&lt;&gt;""),"N/A recorded","Missing applicability approval"),"Open"))</x:f>
        <x:v>Open</x:v>
      </x:c>
      <x:c r="V46" s="5" t="str">
        <x:v>Normativa/IEC 62443-4-1 2018.pdf</x:v>
      </x:c>
      <x:c r="W46" s="5" t="str"/>
    </x:row>
    <x:row r="47" ht="36" customHeight="1">
      <x:c r="A47" s="5" t="str">
        <x:v>SDL-SD-1-01</x:v>
      </x:c>
      <x:c r="B47" s="5" t="str">
        <x:v>SD-1</x:v>
      </x:c>
      <x:c r="C47" s="5" t="str">
        <x:v>Interface design</x:v>
      </x:c>
      <x:c r="D47" s="5" t="str">
        <x:v>Identify and characterize every physical/logical interface as internal, external or both</x:v>
      </x:c>
      <x:c r="E47" s="5" t="str">
        <x:v>Mandatory</x:v>
      </x:c>
      <x:c r="F47" s="5" t="str">
        <x:v>In-scope product</x:v>
      </x:c>
      <x:c r="G47" s="5" t="str"/>
      <x:c r="H47" s="5" t="str">
        <x:v>7.2.1</x:v>
      </x:c>
      <x:c r="I47" s="5" t="str">
        <x:v>32</x:v>
      </x:c>
      <x:c r="J47" s="5" t="str">
        <x:v>30</x:v>
      </x:c>
      <x:c r="K47" s="5" t="str">
        <x:v>Architecture/CCI_Runtime_Dataflow_Architecture.md; Architecture/Software_Architecture.md; knowledge-base/08-engineering/CCI_62443_Zones.md</x:v>
      </x:c>
      <x:c r="L47" s="5" t="str">
        <x:v>HiTEKS architect</x:v>
      </x:c>
      <x:c r="M47" s="5" t="str">
        <x:v>Not demonstrated</x:v>
      </x:c>
      <x:c r="N47" s="5" t="str">
        <x:v>Not demonstrated</x:v>
      </x:c>
      <x:c r="O47" s="5" t="str">
        <x:v>Approved design/traceability review; exercise the relevant trust boundary and record residual risks. Verify: Identify and characterize every physical/logical interface as internal, external or both.</x:v>
      </x:c>
      <x:c r="P47" s="10" t="str"/>
      <x:c r="Q47" s="10" t="str">
        <x:v>Open</x:v>
      </x:c>
      <x:c r="R47" s="10" t="str"/>
      <x:c r="S47" s="10" t="str"/>
      <x:c r="T47" s="10" t="str"/>
      <x:c r="U47" s="5" t="str">
        <x:f>IF(Q47="Closed",IF(AND(R47&lt;&gt;"",S47&lt;&gt;""),"Closed recorded","Missing evidence/reviewer"),IF(Q47="N/A approved",IF(AND(T47&lt;&gt;"",S47&lt;&gt;""),"N/A recorded","Missing applicability approval"),"Open"))</x:f>
        <x:v>Open</x:v>
      </x:c>
      <x:c r="V47" s="5" t="str">
        <x:v>Normativa/IEC 62443-4-1 2018.pdf</x:v>
      </x:c>
      <x:c r="W47" s="5" t="str"/>
    </x:row>
    <x:row r="48" ht="36" customHeight="1">
      <x:c r="A48" s="5" t="str">
        <x:v>SDL-SD-1-02</x:v>
      </x:c>
      <x:c r="B48" s="5" t="str">
        <x:v>SD-1</x:v>
      </x:c>
      <x:c r="C48" s="5" t="str">
        <x:v>Interface design</x:v>
      </x:c>
      <x:c r="D48" s="5" t="str">
        <x:v>Document external-interface security-context implications</x:v>
      </x:c>
      <x:c r="E48" s="5" t="str">
        <x:v>Mandatory</x:v>
      </x:c>
      <x:c r="F48" s="5" t="str">
        <x:v>In-scope product</x:v>
      </x:c>
      <x:c r="G48" s="5" t="str"/>
      <x:c r="H48" s="5" t="str">
        <x:v>7.2.1</x:v>
      </x:c>
      <x:c r="I48" s="5" t="str">
        <x:v>32</x:v>
      </x:c>
      <x:c r="J48" s="5" t="str">
        <x:v>30</x:v>
      </x:c>
      <x:c r="K48" s="5" t="str">
        <x:v>Architecture/CCI_Runtime_Dataflow_Architecture.md; Architecture/Software_Architecture.md; knowledge-base/08-engineering/CCI_62443_Zones.md</x:v>
      </x:c>
      <x:c r="L48" s="5" t="str">
        <x:v>HiTEKS architect</x:v>
      </x:c>
      <x:c r="M48" s="5" t="str">
        <x:v>Not demonstrated</x:v>
      </x:c>
      <x:c r="N48" s="5" t="str">
        <x:v>Not demonstrated</x:v>
      </x:c>
      <x:c r="O48" s="5" t="str">
        <x:v>Approved design/traceability review; exercise the relevant trust boundary and record residual risks. Verify: Document external-interface security-context implications.</x:v>
      </x:c>
      <x:c r="P48" s="10" t="str"/>
      <x:c r="Q48" s="10" t="str">
        <x:v>Open</x:v>
      </x:c>
      <x:c r="R48" s="10" t="str"/>
      <x:c r="S48" s="10" t="str"/>
      <x:c r="T48" s="10" t="str"/>
      <x:c r="U48" s="5" t="str">
        <x:f>IF(Q48="Closed",IF(AND(R48&lt;&gt;"",S48&lt;&gt;""),"Closed recorded","Missing evidence/reviewer"),IF(Q48="N/A approved",IF(AND(T48&lt;&gt;"",S48&lt;&gt;""),"N/A recorded","Missing applicability approval"),"Open"))</x:f>
        <x:v>Open</x:v>
      </x:c>
      <x:c r="V48" s="5" t="str">
        <x:v>Normativa/IEC 62443-4-1 2018.pdf</x:v>
      </x:c>
      <x:c r="W48" s="5" t="str"/>
    </x:row>
    <x:row r="49" ht="36" customHeight="1">
      <x:c r="A49" s="5" t="str">
        <x:v>SDL-SD-1-03</x:v>
      </x:c>
      <x:c r="B49" s="5" t="str">
        <x:v>SD-1</x:v>
      </x:c>
      <x:c r="C49" s="5" t="str">
        <x:v>Interface design</x:v>
      </x:c>
      <x:c r="D49" s="5" t="str">
        <x:v>Identify users and directly/indirectly accessible assets</x:v>
      </x:c>
      <x:c r="E49" s="5" t="str">
        <x:v>Mandatory</x:v>
      </x:c>
      <x:c r="F49" s="5" t="str">
        <x:v>In-scope product</x:v>
      </x:c>
      <x:c r="G49" s="5" t="str"/>
      <x:c r="H49" s="5" t="str">
        <x:v>7.2.1</x:v>
      </x:c>
      <x:c r="I49" s="5" t="str">
        <x:v>32</x:v>
      </x:c>
      <x:c r="J49" s="5" t="str">
        <x:v>30</x:v>
      </x:c>
      <x:c r="K49" s="5" t="str">
        <x:v>Architecture/CCI_Runtime_Dataflow_Architecture.md; Architecture/Software_Architecture.md; knowledge-base/08-engineering/CCI_62443_Zones.md</x:v>
      </x:c>
      <x:c r="L49" s="5" t="str">
        <x:v>HiTEKS architect</x:v>
      </x:c>
      <x:c r="M49" s="5" t="str">
        <x:v>Not demonstrated</x:v>
      </x:c>
      <x:c r="N49" s="5" t="str">
        <x:v>Not demonstrated</x:v>
      </x:c>
      <x:c r="O49" s="5" t="str">
        <x:v>Approved design/traceability review; exercise the relevant trust boundary and record residual risks. Verify: Identify users and directly/indirectly accessible assets.</x:v>
      </x:c>
      <x:c r="P49" s="10" t="str"/>
      <x:c r="Q49" s="10" t="str">
        <x:v>Open</x:v>
      </x:c>
      <x:c r="R49" s="10" t="str"/>
      <x:c r="S49" s="10" t="str"/>
      <x:c r="T49" s="10" t="str"/>
      <x:c r="U49" s="5" t="str">
        <x:f>IF(Q49="Closed",IF(AND(R49&lt;&gt;"",S49&lt;&gt;""),"Closed recorded","Missing evidence/reviewer"),IF(Q49="N/A approved",IF(AND(T49&lt;&gt;"",S49&lt;&gt;""),"N/A recorded","Missing applicability approval"),"Open"))</x:f>
        <x:v>Open</x:v>
      </x:c>
      <x:c r="V49" s="5" t="str">
        <x:v>Normativa/IEC 62443-4-1 2018.pdf</x:v>
      </x:c>
      <x:c r="W49" s="5" t="str"/>
    </x:row>
    <x:row r="50" ht="36" customHeight="1">
      <x:c r="A50" s="5" t="str">
        <x:v>SDL-SD-1-04</x:v>
      </x:c>
      <x:c r="B50" s="5" t="str">
        <x:v>SD-1</x:v>
      </x:c>
      <x:c r="C50" s="5" t="str">
        <x:v>Interface design</x:v>
      </x:c>
      <x:c r="D50" s="5" t="str">
        <x:v>Identify trust-boundary crossings</x:v>
      </x:c>
      <x:c r="E50" s="5" t="str">
        <x:v>Mandatory</x:v>
      </x:c>
      <x:c r="F50" s="5" t="str">
        <x:v>In-scope product</x:v>
      </x:c>
      <x:c r="G50" s="5" t="str"/>
      <x:c r="H50" s="5" t="str">
        <x:v>7.2.1</x:v>
      </x:c>
      <x:c r="I50" s="5" t="str">
        <x:v>32</x:v>
      </x:c>
      <x:c r="J50" s="5" t="str">
        <x:v>30</x:v>
      </x:c>
      <x:c r="K50" s="5" t="str">
        <x:v>Architecture/CCI_Runtime_Dataflow_Architecture.md; Architecture/Software_Architecture.md; knowledge-base/08-engineering/CCI_62443_Zones.md</x:v>
      </x:c>
      <x:c r="L50" s="5" t="str">
        <x:v>HiTEKS architect</x:v>
      </x:c>
      <x:c r="M50" s="5" t="str">
        <x:v>Not demonstrated</x:v>
      </x:c>
      <x:c r="N50" s="5" t="str">
        <x:v>Not demonstrated</x:v>
      </x:c>
      <x:c r="O50" s="5" t="str">
        <x:v>Approved design/traceability review; exercise the relevant trust boundary and record residual risks. Verify: Identify trust-boundary crossings.</x:v>
      </x:c>
      <x:c r="P50" s="10" t="str"/>
      <x:c r="Q50" s="10" t="str">
        <x:v>Open</x:v>
      </x:c>
      <x:c r="R50" s="10" t="str"/>
      <x:c r="S50" s="10" t="str"/>
      <x:c r="T50" s="10" t="str"/>
      <x:c r="U50" s="5" t="str">
        <x:f>IF(Q50="Closed",IF(AND(R50&lt;&gt;"",S50&lt;&gt;""),"Closed recorded","Missing evidence/reviewer"),IF(Q50="N/A approved",IF(AND(T50&lt;&gt;"",S50&lt;&gt;""),"N/A recorded","Missing applicability approval"),"Open"))</x:f>
        <x:v>Open</x:v>
      </x:c>
      <x:c r="V50" s="5" t="str">
        <x:v>Normativa/IEC 62443-4-1 2018.pdf</x:v>
      </x:c>
      <x:c r="W50" s="5" t="str"/>
    </x:row>
    <x:row r="51" ht="36" customHeight="1">
      <x:c r="A51" s="5" t="str">
        <x:v>SDL-SD-1-05</x:v>
      </x:c>
      <x:c r="B51" s="5" t="str">
        <x:v>SD-1</x:v>
      </x:c>
      <x:c r="C51" s="5" t="str">
        <x:v>Interface design</x:v>
      </x:c>
      <x:c r="D51" s="5" t="str">
        <x:v>Document security assumptions, constraints and threats</x:v>
      </x:c>
      <x:c r="E51" s="5" t="str">
        <x:v>Mandatory</x:v>
      </x:c>
      <x:c r="F51" s="5" t="str">
        <x:v>In-scope product</x:v>
      </x:c>
      <x:c r="G51" s="5" t="str"/>
      <x:c r="H51" s="5" t="str">
        <x:v>7.2.1</x:v>
      </x:c>
      <x:c r="I51" s="5" t="str">
        <x:v>32</x:v>
      </x:c>
      <x:c r="J51" s="5" t="str">
        <x:v>30</x:v>
      </x:c>
      <x:c r="K51" s="5" t="str">
        <x:v>Architecture/CCI_Runtime_Dataflow_Architecture.md; Architecture/Software_Architecture.md; knowledge-base/08-engineering/CCI_62443_Zones.md</x:v>
      </x:c>
      <x:c r="L51" s="5" t="str">
        <x:v>HiTEKS architect</x:v>
      </x:c>
      <x:c r="M51" s="5" t="str">
        <x:v>Not demonstrated</x:v>
      </x:c>
      <x:c r="N51" s="5" t="str">
        <x:v>Not demonstrated</x:v>
      </x:c>
      <x:c r="O51" s="5" t="str">
        <x:v>Approved design/traceability review; exercise the relevant trust boundary and record residual risks. Verify: Document security assumptions, constraints and threats.</x:v>
      </x:c>
      <x:c r="P51" s="10" t="str"/>
      <x:c r="Q51" s="10" t="str">
        <x:v>Open</x:v>
      </x:c>
      <x:c r="R51" s="10" t="str"/>
      <x:c r="S51" s="10" t="str"/>
      <x:c r="T51" s="10" t="str"/>
      <x:c r="U51" s="5" t="str">
        <x:f>IF(Q51="Closed",IF(AND(R51&lt;&gt;"",S51&lt;&gt;""),"Closed recorded","Missing evidence/reviewer"),IF(Q51="N/A approved",IF(AND(T51&lt;&gt;"",S51&lt;&gt;""),"N/A recorded","Missing applicability approval"),"Open"))</x:f>
        <x:v>Open</x:v>
      </x:c>
      <x:c r="V51" s="5" t="str">
        <x:v>Normativa/IEC 62443-4-1 2018.pdf</x:v>
      </x:c>
      <x:c r="W51" s="5" t="str"/>
    </x:row>
    <x:row r="52" ht="36" customHeight="1">
      <x:c r="A52" s="5" t="str">
        <x:v>SDL-SD-1-06</x:v>
      </x:c>
      <x:c r="B52" s="5" t="str">
        <x:v>SD-1</x:v>
      </x:c>
      <x:c r="C52" s="5" t="str">
        <x:v>Interface design</x:v>
      </x:c>
      <x:c r="D52" s="5" t="str">
        <x:v>Define roles, privileges and access permissions</x:v>
      </x:c>
      <x:c r="E52" s="5" t="str">
        <x:v>Mandatory</x:v>
      </x:c>
      <x:c r="F52" s="5" t="str">
        <x:v>In-scope product</x:v>
      </x:c>
      <x:c r="G52" s="5" t="str"/>
      <x:c r="H52" s="5" t="str">
        <x:v>7.2.1</x:v>
      </x:c>
      <x:c r="I52" s="5" t="str">
        <x:v>32</x:v>
      </x:c>
      <x:c r="J52" s="5" t="str">
        <x:v>30</x:v>
      </x:c>
      <x:c r="K52" s="5" t="str">
        <x:v>Architecture/CCI_Runtime_Dataflow_Architecture.md; Architecture/Software_Architecture.md; knowledge-base/08-engineering/CCI_62443_Zones.md</x:v>
      </x:c>
      <x:c r="L52" s="5" t="str">
        <x:v>HiTEKS architect</x:v>
      </x:c>
      <x:c r="M52" s="5" t="str">
        <x:v>Not demonstrated</x:v>
      </x:c>
      <x:c r="N52" s="5" t="str">
        <x:v>Not demonstrated</x:v>
      </x:c>
      <x:c r="O52" s="5" t="str">
        <x:v>Approved design/traceability review; exercise the relevant trust boundary and record residual risks. Verify: Define roles, privileges and access permissions.</x:v>
      </x:c>
      <x:c r="P52" s="10" t="str"/>
      <x:c r="Q52" s="10" t="str">
        <x:v>Open</x:v>
      </x:c>
      <x:c r="R52" s="10" t="str"/>
      <x:c r="S52" s="10" t="str"/>
      <x:c r="T52" s="10" t="str"/>
      <x:c r="U52" s="5" t="str">
        <x:f>IF(Q52="Closed",IF(AND(R52&lt;&gt;"",S52&lt;&gt;""),"Closed recorded","Missing evidence/reviewer"),IF(Q52="N/A approved",IF(AND(T52&lt;&gt;"",S52&lt;&gt;""),"N/A recorded","Missing applicability approval"),"Open"))</x:f>
        <x:v>Open</x:v>
      </x:c>
      <x:c r="V52" s="5" t="str">
        <x:v>Normativa/IEC 62443-4-1 2018.pdf</x:v>
      </x:c>
      <x:c r="W52" s="5" t="str"/>
    </x:row>
    <x:row r="53" ht="36" customHeight="1">
      <x:c r="A53" s="5" t="str">
        <x:v>SDL-SD-1-07</x:v>
      </x:c>
      <x:c r="B53" s="5" t="str">
        <x:v>SD-1</x:v>
      </x:c>
      <x:c r="C53" s="5" t="str">
        <x:v>Interface design</x:v>
      </x:c>
      <x:c r="D53" s="5" t="str">
        <x:v>Define safeguards including input validation, output and error handling</x:v>
      </x:c>
      <x:c r="E53" s="5" t="str">
        <x:v>Mandatory</x:v>
      </x:c>
      <x:c r="F53" s="5" t="str">
        <x:v>In-scope product</x:v>
      </x:c>
      <x:c r="G53" s="5" t="str"/>
      <x:c r="H53" s="5" t="str">
        <x:v>7.2.1</x:v>
      </x:c>
      <x:c r="I53" s="5" t="str">
        <x:v>32</x:v>
      </x:c>
      <x:c r="J53" s="5" t="str">
        <x:v>30</x:v>
      </x:c>
      <x:c r="K53" s="5" t="str">
        <x:v>Architecture/CCI_Runtime_Dataflow_Architecture.md; Architecture/Software_Architecture.md; knowledge-base/08-engineering/CCI_62443_Zones.md</x:v>
      </x:c>
      <x:c r="L53" s="5" t="str">
        <x:v>HiTEKS architect</x:v>
      </x:c>
      <x:c r="M53" s="5" t="str">
        <x:v>Not demonstrated</x:v>
      </x:c>
      <x:c r="N53" s="5" t="str">
        <x:v>Not demonstrated</x:v>
      </x:c>
      <x:c r="O53" s="5" t="str">
        <x:v>Approved design/traceability review; exercise the relevant trust boundary and record residual risks. Verify: Define safeguards including input validation, output and error handling.</x:v>
      </x:c>
      <x:c r="P53" s="10" t="str"/>
      <x:c r="Q53" s="10" t="str">
        <x:v>Open</x:v>
      </x:c>
      <x:c r="R53" s="10" t="str"/>
      <x:c r="S53" s="10" t="str"/>
      <x:c r="T53" s="10" t="str"/>
      <x:c r="U53" s="5" t="str">
        <x:f>IF(Q53="Closed",IF(AND(R53&lt;&gt;"",S53&lt;&gt;""),"Closed recorded","Missing evidence/reviewer"),IF(Q53="N/A approved",IF(AND(T53&lt;&gt;"",S53&lt;&gt;""),"N/A recorded","Missing applicability approval"),"Open"))</x:f>
        <x:v>Open</x:v>
      </x:c>
      <x:c r="V53" s="5" t="str">
        <x:v>Normativa/IEC 62443-4-1 2018.pdf</x:v>
      </x:c>
      <x:c r="W53" s="5" t="str"/>
    </x:row>
    <x:row r="54" ht="36" customHeight="1">
      <x:c r="A54" s="5" t="str">
        <x:v>SDL-SD-1-08</x:v>
      </x:c>
      <x:c r="B54" s="5" t="str">
        <x:v>SD-1</x:v>
      </x:c>
      <x:c r="C54" s="5" t="str">
        <x:v>Interface design</x:v>
      </x:c>
      <x:c r="D54" s="5" t="str">
        <x:v>Identify third-party interface components and their security capabilities</x:v>
      </x:c>
      <x:c r="E54" s="5" t="str">
        <x:v>Mandatory</x:v>
      </x:c>
      <x:c r="F54" s="5" t="str">
        <x:v>In-scope product</x:v>
      </x:c>
      <x:c r="G54" s="5" t="str"/>
      <x:c r="H54" s="5" t="str">
        <x:v>7.2.1</x:v>
      </x:c>
      <x:c r="I54" s="5" t="str">
        <x:v>32</x:v>
      </x:c>
      <x:c r="J54" s="5" t="str">
        <x:v>30</x:v>
      </x:c>
      <x:c r="K54" s="5" t="str">
        <x:v>Architecture/CCI_Runtime_Dataflow_Architecture.md; Architecture/Software_Architecture.md; knowledge-base/08-engineering/CCI_62443_Zones.md</x:v>
      </x:c>
      <x:c r="L54" s="5" t="str">
        <x:v>HiTEKS architect</x:v>
      </x:c>
      <x:c r="M54" s="5" t="str">
        <x:v>Not demonstrated</x:v>
      </x:c>
      <x:c r="N54" s="5" t="str">
        <x:v>Not demonstrated</x:v>
      </x:c>
      <x:c r="O54" s="5" t="str">
        <x:v>Approved design/traceability review; exercise the relevant trust boundary and record residual risks. Verify: Identify third-party interface components and their security capabilities.</x:v>
      </x:c>
      <x:c r="P54" s="10" t="str"/>
      <x:c r="Q54" s="10" t="str">
        <x:v>Open</x:v>
      </x:c>
      <x:c r="R54" s="10" t="str"/>
      <x:c r="S54" s="10" t="str"/>
      <x:c r="T54" s="10" t="str"/>
      <x:c r="U54" s="5" t="str">
        <x:f>IF(Q54="Closed",IF(AND(R54&lt;&gt;"",S54&lt;&gt;""),"Closed recorded","Missing evidence/reviewer"),IF(Q54="N/A approved",IF(AND(T54&lt;&gt;"",S54&lt;&gt;""),"N/A recorded","Missing applicability approval"),"Open"))</x:f>
        <x:v>Open</x:v>
      </x:c>
      <x:c r="V54" s="5" t="str">
        <x:v>Normativa/IEC 62443-4-1 2018.pdf</x:v>
      </x:c>
      <x:c r="W54" s="5" t="str"/>
    </x:row>
    <x:row r="55" ht="36" customHeight="1">
      <x:c r="A55" s="5" t="str">
        <x:v>SDL-SD-1-09</x:v>
      </x:c>
      <x:c r="B55" s="5" t="str">
        <x:v>SD-1</x:v>
      </x:c>
      <x:c r="C55" s="5" t="str">
        <x:v>Interface design</x:v>
      </x:c>
      <x:c r="D55" s="5" t="str">
        <x:v>Document use of externally accessible interfaces</x:v>
      </x:c>
      <x:c r="E55" s="5" t="str">
        <x:v>Mandatory</x:v>
      </x:c>
      <x:c r="F55" s="5" t="str">
        <x:v>In-scope product</x:v>
      </x:c>
      <x:c r="G55" s="5" t="str"/>
      <x:c r="H55" s="5" t="str">
        <x:v>7.2.1</x:v>
      </x:c>
      <x:c r="I55" s="5" t="str">
        <x:v>32</x:v>
      </x:c>
      <x:c r="J55" s="5" t="str">
        <x:v>30</x:v>
      </x:c>
      <x:c r="K55" s="5" t="str">
        <x:v>Architecture/CCI_Runtime_Dataflow_Architecture.md; Architecture/Software_Architecture.md; knowledge-base/08-engineering/CCI_62443_Zones.md</x:v>
      </x:c>
      <x:c r="L55" s="5" t="str">
        <x:v>HiTEKS architect</x:v>
      </x:c>
      <x:c r="M55" s="5" t="str">
        <x:v>Not demonstrated</x:v>
      </x:c>
      <x:c r="N55" s="5" t="str">
        <x:v>Not demonstrated</x:v>
      </x:c>
      <x:c r="O55" s="5" t="str">
        <x:v>Approved design/traceability review; exercise the relevant trust boundary and record residual risks. Verify: Document use of externally accessible interfaces.</x:v>
      </x:c>
      <x:c r="P55" s="10" t="str"/>
      <x:c r="Q55" s="10" t="str">
        <x:v>Open</x:v>
      </x:c>
      <x:c r="R55" s="10" t="str"/>
      <x:c r="S55" s="10" t="str"/>
      <x:c r="T55" s="10" t="str"/>
      <x:c r="U55" s="5" t="str">
        <x:f>IF(Q55="Closed",IF(AND(R55&lt;&gt;"",S55&lt;&gt;""),"Closed recorded","Missing evidence/reviewer"),IF(Q55="N/A approved",IF(AND(T55&lt;&gt;"",S55&lt;&gt;""),"N/A recorded","Missing applicability approval"),"Open"))</x:f>
        <x:v>Open</x:v>
      </x:c>
      <x:c r="V55" s="5" t="str">
        <x:v>Normativa/IEC 62443-4-1 2018.pdf</x:v>
      </x:c>
      <x:c r="W55" s="5" t="str"/>
    </x:row>
    <x:row r="56" ht="36" customHeight="1">
      <x:c r="A56" s="5" t="str">
        <x:v>SDL-SD-1-10</x:v>
      </x:c>
      <x:c r="B56" s="5" t="str">
        <x:v>SD-1</x:v>
      </x:c>
      <x:c r="C56" s="5" t="str">
        <x:v>Interface design</x:v>
      </x:c>
      <x:c r="D56" s="5" t="str">
        <x:v>Trace design mitigations to threat-model threats</x:v>
      </x:c>
      <x:c r="E56" s="5" t="str">
        <x:v>Mandatory</x:v>
      </x:c>
      <x:c r="F56" s="5" t="str">
        <x:v>In-scope product</x:v>
      </x:c>
      <x:c r="G56" s="5" t="str"/>
      <x:c r="H56" s="5" t="str">
        <x:v>7.2.1</x:v>
      </x:c>
      <x:c r="I56" s="5" t="str">
        <x:v>32</x:v>
      </x:c>
      <x:c r="J56" s="5" t="str">
        <x:v>30</x:v>
      </x:c>
      <x:c r="K56" s="5" t="str">
        <x:v>Architecture/CCI_Runtime_Dataflow_Architecture.md; Architecture/Software_Architecture.md; knowledge-base/08-engineering/CCI_62443_Zones.md</x:v>
      </x:c>
      <x:c r="L56" s="5" t="str">
        <x:v>HiTEKS architect</x:v>
      </x:c>
      <x:c r="M56" s="5" t="str">
        <x:v>Not demonstrated</x:v>
      </x:c>
      <x:c r="N56" s="5" t="str">
        <x:v>Not demonstrated</x:v>
      </x:c>
      <x:c r="O56" s="5" t="str">
        <x:v>Approved design/traceability review; exercise the relevant trust boundary and record residual risks. Verify: Trace design mitigations to threat-model threats.</x:v>
      </x:c>
      <x:c r="P56" s="10" t="str"/>
      <x:c r="Q56" s="10" t="str">
        <x:v>Open</x:v>
      </x:c>
      <x:c r="R56" s="10" t="str"/>
      <x:c r="S56" s="10" t="str"/>
      <x:c r="T56" s="10" t="str"/>
      <x:c r="U56" s="5" t="str">
        <x:f>IF(Q56="Closed",IF(AND(R56&lt;&gt;"",S56&lt;&gt;""),"Closed recorded","Missing evidence/reviewer"),IF(Q56="N/A approved",IF(AND(T56&lt;&gt;"",S56&lt;&gt;""),"N/A recorded","Missing applicability approval"),"Open"))</x:f>
        <x:v>Open</x:v>
      </x:c>
      <x:c r="V56" s="5" t="str">
        <x:v>Normativa/IEC 62443-4-1 2018.pdf</x:v>
      </x:c>
      <x:c r="W56" s="5" t="str"/>
    </x:row>
    <x:row r="57" ht="36" customHeight="1">
      <x:c r="A57" s="5" t="str">
        <x:v>SDL-SD-2-01</x:v>
      </x:c>
      <x:c r="B57" s="5" t="str">
        <x:v>SD-2</x:v>
      </x:c>
      <x:c r="C57" s="5" t="str">
        <x:v>Defense in depth</x:v>
      </x:c>
      <x:c r="D57" s="5" t="str">
        <x:v>Implement risk-based multiple defensive layers from the threat model</x:v>
      </x:c>
      <x:c r="E57" s="5" t="str">
        <x:v>Mandatory</x:v>
      </x:c>
      <x:c r="F57" s="5" t="str">
        <x:v>In-scope product</x:v>
      </x:c>
      <x:c r="G57" s="5" t="str"/>
      <x:c r="H57" s="5" t="str">
        <x:v>7.3.1</x:v>
      </x:c>
      <x:c r="I57" s="5" t="str">
        <x:v>33</x:v>
      </x:c>
      <x:c r="J57" s="5" t="str">
        <x:v>31</x:v>
      </x:c>
      <x:c r="K57" s="5" t="str">
        <x:v>Architecture/CCI_Runtime_Dataflow_Architecture.md; Architecture/Software_Architecture.md; knowledge-base/08-engineering/CCI_62443_Zones.md</x:v>
      </x:c>
      <x:c r="L57" s="5" t="str">
        <x:v>HiTEKS architect</x:v>
      </x:c>
      <x:c r="M57" s="5" t="str">
        <x:v>Not demonstrated</x:v>
      </x:c>
      <x:c r="N57" s="5" t="str">
        <x:v>Not demonstrated</x:v>
      </x:c>
      <x:c r="O57" s="5" t="str">
        <x:v>Approved design/traceability review; exercise the relevant trust boundary and record residual risks. Verify: Implement risk-based multiple defensive layers from the threat model.</x:v>
      </x:c>
      <x:c r="P57" s="10" t="str"/>
      <x:c r="Q57" s="10" t="str">
        <x:v>Open</x:v>
      </x:c>
      <x:c r="R57" s="10" t="str"/>
      <x:c r="S57" s="10" t="str"/>
      <x:c r="T57" s="10" t="str"/>
      <x:c r="U57" s="5" t="str">
        <x:f>IF(Q57="Closed",IF(AND(R57&lt;&gt;"",S57&lt;&gt;""),"Closed recorded","Missing evidence/reviewer"),IF(Q57="N/A approved",IF(AND(T57&lt;&gt;"",S57&lt;&gt;""),"N/A recorded","Missing applicability approval"),"Open"))</x:f>
        <x:v>Open</x:v>
      </x:c>
      <x:c r="V57" s="5" t="str">
        <x:v>Normativa/IEC 62443-4-1 2018.pdf</x:v>
      </x:c>
      <x:c r="W57" s="5" t="str"/>
    </x:row>
    <x:row r="58" ht="36" customHeight="1">
      <x:c r="A58" s="5" t="str">
        <x:v>SDL-SD-2-02</x:v>
      </x:c>
      <x:c r="B58" s="5" t="str">
        <x:v>SD-2</x:v>
      </x:c>
      <x:c r="C58" s="5" t="str">
        <x:v>Defense in depth</x:v>
      </x:c>
      <x:c r="D58" s="5" t="str">
        <x:v>Assign responsibility to each layer</x:v>
      </x:c>
      <x:c r="E58" s="5" t="str">
        <x:v>Mandatory</x:v>
      </x:c>
      <x:c r="F58" s="5" t="str">
        <x:v>In-scope product</x:v>
      </x:c>
      <x:c r="G58" s="5" t="str"/>
      <x:c r="H58" s="5" t="str">
        <x:v>7.3.1</x:v>
      </x:c>
      <x:c r="I58" s="5" t="str">
        <x:v>33</x:v>
      </x:c>
      <x:c r="J58" s="5" t="str">
        <x:v>31</x:v>
      </x:c>
      <x:c r="K58" s="5" t="str">
        <x:v>Architecture/CCI_Runtime_Dataflow_Architecture.md; Architecture/Software_Architecture.md; knowledge-base/08-engineering/CCI_62443_Zones.md</x:v>
      </x:c>
      <x:c r="L58" s="5" t="str">
        <x:v>HiTEKS architect</x:v>
      </x:c>
      <x:c r="M58" s="5" t="str">
        <x:v>Not demonstrated</x:v>
      </x:c>
      <x:c r="N58" s="5" t="str">
        <x:v>Not demonstrated</x:v>
      </x:c>
      <x:c r="O58" s="5" t="str">
        <x:v>Approved design/traceability review; exercise the relevant trust boundary and record residual risks. Verify: Assign responsibility to each layer.</x:v>
      </x:c>
      <x:c r="P58" s="10" t="str"/>
      <x:c r="Q58" s="10" t="str">
        <x:v>Open</x:v>
      </x:c>
      <x:c r="R58" s="10" t="str"/>
      <x:c r="S58" s="10" t="str"/>
      <x:c r="T58" s="10" t="str"/>
      <x:c r="U58" s="5" t="str">
        <x:f>IF(Q58="Closed",IF(AND(R58&lt;&gt;"",S58&lt;&gt;""),"Closed recorded","Missing evidence/reviewer"),IF(Q58="N/A approved",IF(AND(T58&lt;&gt;"",S58&lt;&gt;""),"N/A recorded","Missing applicability approval"),"Open"))</x:f>
        <x:v>Open</x:v>
      </x:c>
      <x:c r="V58" s="5" t="str">
        <x:v>Normativa/IEC 62443-4-1 2018.pdf</x:v>
      </x:c>
      <x:c r="W58" s="5" t="str"/>
    </x:row>
    <x:row r="59" ht="36" customHeight="1">
      <x:c r="A59" s="5" t="str">
        <x:v>SDL-SD-3-01</x:v>
      </x:c>
      <x:c r="B59" s="5" t="str">
        <x:v>SD-3</x:v>
      </x:c>
      <x:c r="C59" s="5" t="str">
        <x:v>Design review</x:v>
      </x:c>
      <x:c r="D59" s="5" t="str">
        <x:v>Review each significant design revision for unmet security requirements</x:v>
      </x:c>
      <x:c r="E59" s="5" t="str">
        <x:v>Mandatory</x:v>
      </x:c>
      <x:c r="F59" s="5" t="str">
        <x:v>In-scope product</x:v>
      </x:c>
      <x:c r="G59" s="5" t="str"/>
      <x:c r="H59" s="5" t="str">
        <x:v>7.4.1</x:v>
      </x:c>
      <x:c r="I59" s="5" t="str">
        <x:v>34</x:v>
      </x:c>
      <x:c r="J59" s="5" t="str">
        <x:v>32</x:v>
      </x:c>
      <x:c r="K59" s="5" t="str">
        <x:v>Architecture/CCI_Runtime_Dataflow_Architecture.md; Architecture/Software_Architecture.md; knowledge-base/08-engineering/CCI_62443_Zones.md</x:v>
      </x:c>
      <x:c r="L59" s="5" t="str">
        <x:v>HiTEKS architect</x:v>
      </x:c>
      <x:c r="M59" s="5" t="str">
        <x:v>Not demonstrated</x:v>
      </x:c>
      <x:c r="N59" s="5" t="str">
        <x:v>Not demonstrated</x:v>
      </x:c>
      <x:c r="O59" s="5" t="str">
        <x:v>Approved design/traceability review; exercise the relevant trust boundary and record residual risks. Verify: Review each significant design revision for unmet security requirements.</x:v>
      </x:c>
      <x:c r="P59" s="10" t="str"/>
      <x:c r="Q59" s="10" t="str">
        <x:v>Open</x:v>
      </x:c>
      <x:c r="R59" s="10" t="str"/>
      <x:c r="S59" s="10" t="str"/>
      <x:c r="T59" s="10" t="str"/>
      <x:c r="U59" s="5" t="str">
        <x:f>IF(Q59="Closed",IF(AND(R59&lt;&gt;"",S59&lt;&gt;""),"Closed recorded","Missing evidence/reviewer"),IF(Q59="N/A approved",IF(AND(T59&lt;&gt;"",S59&lt;&gt;""),"N/A recorded","Missing applicability approval"),"Open"))</x:f>
        <x:v>Open</x:v>
      </x:c>
      <x:c r="V59" s="5" t="str">
        <x:v>Normativa/IEC 62443-4-1 2018.pdf</x:v>
      </x:c>
      <x:c r="W59" s="5" t="str"/>
    </x:row>
    <x:row r="60" ht="36" customHeight="1">
      <x:c r="A60" s="5" t="str">
        <x:v>SDL-SD-3-02</x:v>
      </x:c>
      <x:c r="B60" s="5" t="str">
        <x:v>SD-3</x:v>
      </x:c>
      <x:c r="C60" s="5" t="str">
        <x:v>Design review</x:v>
      </x:c>
      <x:c r="D60" s="5" t="str">
        <x:v>Review interface, trust-boundary and asset exploitability</x:v>
      </x:c>
      <x:c r="E60" s="5" t="str">
        <x:v>Mandatory</x:v>
      </x:c>
      <x:c r="F60" s="5" t="str">
        <x:v>In-scope product</x:v>
      </x:c>
      <x:c r="G60" s="5" t="str"/>
      <x:c r="H60" s="5" t="str">
        <x:v>7.4.1</x:v>
      </x:c>
      <x:c r="I60" s="5" t="str">
        <x:v>34</x:v>
      </x:c>
      <x:c r="J60" s="5" t="str">
        <x:v>32</x:v>
      </x:c>
      <x:c r="K60" s="5" t="str">
        <x:v>Architecture/CCI_Runtime_Dataflow_Architecture.md; Architecture/Software_Architecture.md; knowledge-base/08-engineering/CCI_62443_Zones.md</x:v>
      </x:c>
      <x:c r="L60" s="5" t="str">
        <x:v>HiTEKS architect</x:v>
      </x:c>
      <x:c r="M60" s="5" t="str">
        <x:v>Not demonstrated</x:v>
      </x:c>
      <x:c r="N60" s="5" t="str">
        <x:v>Not demonstrated</x:v>
      </x:c>
      <x:c r="O60" s="5" t="str">
        <x:v>Approved design/traceability review; exercise the relevant trust boundary and record residual risks. Verify: Review interface, trust-boundary and asset exploitability.</x:v>
      </x:c>
      <x:c r="P60" s="10" t="str"/>
      <x:c r="Q60" s="10" t="str">
        <x:v>Open</x:v>
      </x:c>
      <x:c r="R60" s="10" t="str"/>
      <x:c r="S60" s="10" t="str"/>
      <x:c r="T60" s="10" t="str"/>
      <x:c r="U60" s="5" t="str">
        <x:f>IF(Q60="Closed",IF(AND(R60&lt;&gt;"",S60&lt;&gt;""),"Closed recorded","Missing evidence/reviewer"),IF(Q60="N/A approved",IF(AND(T60&lt;&gt;"",S60&lt;&gt;""),"N/A recorded","Missing applicability approval"),"Open"))</x:f>
        <x:v>Open</x:v>
      </x:c>
      <x:c r="V60" s="5" t="str">
        <x:v>Normativa/IEC 62443-4-1 2018.pdf</x:v>
      </x:c>
      <x:c r="W60" s="5" t="str"/>
    </x:row>
    <x:row r="61" ht="36" customHeight="1">
      <x:c r="A61" s="5" t="str">
        <x:v>SDL-SD-3-03</x:v>
      </x:c>
      <x:c r="B61" s="5" t="str">
        <x:v>SD-3</x:v>
      </x:c>
      <x:c r="C61" s="5" t="str">
        <x:v>Design review</x:v>
      </x:c>
      <x:c r="D61" s="5" t="str">
        <x:v>Review violations of secure design practices</x:v>
      </x:c>
      <x:c r="E61" s="5" t="str">
        <x:v>Mandatory</x:v>
      </x:c>
      <x:c r="F61" s="5" t="str">
        <x:v>In-scope product</x:v>
      </x:c>
      <x:c r="G61" s="5" t="str"/>
      <x:c r="H61" s="5" t="str">
        <x:v>7.4.1</x:v>
      </x:c>
      <x:c r="I61" s="5" t="str">
        <x:v>34</x:v>
      </x:c>
      <x:c r="J61" s="5" t="str">
        <x:v>32</x:v>
      </x:c>
      <x:c r="K61" s="5" t="str">
        <x:v>Architecture/CCI_Runtime_Dataflow_Architecture.md; Architecture/Software_Architecture.md; knowledge-base/08-engineering/CCI_62443_Zones.md</x:v>
      </x:c>
      <x:c r="L61" s="5" t="str">
        <x:v>HiTEKS architect</x:v>
      </x:c>
      <x:c r="M61" s="5" t="str">
        <x:v>Not demonstrated</x:v>
      </x:c>
      <x:c r="N61" s="5" t="str">
        <x:v>Not demonstrated</x:v>
      </x:c>
      <x:c r="O61" s="5" t="str">
        <x:v>Approved design/traceability review; exercise the relevant trust boundary and record residual risks. Verify: Review violations of secure design practices.</x:v>
      </x:c>
      <x:c r="P61" s="10" t="str"/>
      <x:c r="Q61" s="10" t="str">
        <x:v>Open</x:v>
      </x:c>
      <x:c r="R61" s="10" t="str"/>
      <x:c r="S61" s="10" t="str"/>
      <x:c r="T61" s="10" t="str"/>
      <x:c r="U61" s="5" t="str">
        <x:f>IF(Q61="Closed",IF(AND(R61&lt;&gt;"",S61&lt;&gt;""),"Closed recorded","Missing evidence/reviewer"),IF(Q61="N/A approved",IF(AND(T61&lt;&gt;"",S61&lt;&gt;""),"N/A recorded","Missing applicability approval"),"Open"))</x:f>
        <x:v>Open</x:v>
      </x:c>
      <x:c r="V61" s="5" t="str">
        <x:v>Normativa/IEC 62443-4-1 2018.pdf</x:v>
      </x:c>
      <x:c r="W61" s="5" t="str"/>
    </x:row>
    <x:row r="62" ht="36" customHeight="1">
      <x:c r="A62" s="5" t="str">
        <x:v>SDL-SD-3-04</x:v>
      </x:c>
      <x:c r="B62" s="5" t="str">
        <x:v>SD-3</x:v>
      </x:c>
      <x:c r="C62" s="5" t="str">
        <x:v>Design review</x:v>
      </x:c>
      <x:c r="D62" s="5" t="str">
        <x:v>Characterize and track discovered security issues to closure</x:v>
      </x:c>
      <x:c r="E62" s="5" t="str">
        <x:v>Mandatory</x:v>
      </x:c>
      <x:c r="F62" s="5" t="str">
        <x:v>In-scope product</x:v>
      </x:c>
      <x:c r="G62" s="5" t="str"/>
      <x:c r="H62" s="5" t="str">
        <x:v>7.4.1</x:v>
      </x:c>
      <x:c r="I62" s="5" t="str">
        <x:v>34</x:v>
      </x:c>
      <x:c r="J62" s="5" t="str">
        <x:v>32</x:v>
      </x:c>
      <x:c r="K62" s="5" t="str">
        <x:v>Architecture/CCI_Runtime_Dataflow_Architecture.md; Architecture/Software_Architecture.md; knowledge-base/08-engineering/CCI_62443_Zones.md</x:v>
      </x:c>
      <x:c r="L62" s="5" t="str">
        <x:v>HiTEKS architect</x:v>
      </x:c>
      <x:c r="M62" s="5" t="str">
        <x:v>Not demonstrated</x:v>
      </x:c>
      <x:c r="N62" s="5" t="str">
        <x:v>Not demonstrated</x:v>
      </x:c>
      <x:c r="O62" s="5" t="str">
        <x:v>Approved design/traceability review; exercise the relevant trust boundary and record residual risks. Verify: Characterize and track discovered security issues to closure.</x:v>
      </x:c>
      <x:c r="P62" s="10" t="str"/>
      <x:c r="Q62" s="10" t="str">
        <x:v>Open</x:v>
      </x:c>
      <x:c r="R62" s="10" t="str"/>
      <x:c r="S62" s="10" t="str"/>
      <x:c r="T62" s="10" t="str"/>
      <x:c r="U62" s="5" t="str">
        <x:f>IF(Q62="Closed",IF(AND(R62&lt;&gt;"",S62&lt;&gt;""),"Closed recorded","Missing evidence/reviewer"),IF(Q62="N/A approved",IF(AND(T62&lt;&gt;"",S62&lt;&gt;""),"N/A recorded","Missing applicability approval"),"Open"))</x:f>
        <x:v>Open</x:v>
      </x:c>
      <x:c r="V62" s="5" t="str">
        <x:v>Normativa/IEC 62443-4-1 2018.pdf</x:v>
      </x:c>
      <x:c r="W62" s="5" t="str"/>
    </x:row>
    <x:row r="63" ht="36" customHeight="1">
      <x:c r="A63" s="5" t="str">
        <x:v>SDL-SD-4-01</x:v>
      </x:c>
      <x:c r="B63" s="5" t="str">
        <x:v>SD-4</x:v>
      </x:c>
      <x:c r="C63" s="5" t="str">
        <x:v>Design best practices</x:v>
      </x:c>
      <x:c r="D63" s="5" t="str">
        <x:v>Document, apply and periodically update secure design practices</x:v>
      </x:c>
      <x:c r="E63" s="5" t="str">
        <x:v>Mandatory</x:v>
      </x:c>
      <x:c r="F63" s="5" t="str">
        <x:v>In-scope product</x:v>
      </x:c>
      <x:c r="G63" s="5" t="str"/>
      <x:c r="H63" s="5" t="str">
        <x:v>7.5.1</x:v>
      </x:c>
      <x:c r="I63" s="5" t="str">
        <x:v>34-35</x:v>
      </x:c>
      <x:c r="J63" s="5" t="str">
        <x:v>32,33</x:v>
      </x:c>
      <x:c r="K63" s="5" t="str">
        <x:v>Architecture/CCI_Runtime_Dataflow_Architecture.md; Architecture/Software_Architecture.md; knowledge-base/08-engineering/CCI_62443_Zones.md</x:v>
      </x:c>
      <x:c r="L63" s="5" t="str">
        <x:v>HiTEKS architect</x:v>
      </x:c>
      <x:c r="M63" s="5" t="str">
        <x:v>Not demonstrated</x:v>
      </x:c>
      <x:c r="N63" s="5" t="str">
        <x:v>Not demonstrated</x:v>
      </x:c>
      <x:c r="O63" s="5" t="str">
        <x:v>Approved design/traceability review; exercise the relevant trust boundary and record residual risks. Verify: Document, apply and periodically update secure design practices.</x:v>
      </x:c>
      <x:c r="P63" s="10" t="str"/>
      <x:c r="Q63" s="10" t="str">
        <x:v>Open</x:v>
      </x:c>
      <x:c r="R63" s="10" t="str"/>
      <x:c r="S63" s="10" t="str"/>
      <x:c r="T63" s="10" t="str"/>
      <x:c r="U63" s="5" t="str">
        <x:f>IF(Q63="Closed",IF(AND(R63&lt;&gt;"",S63&lt;&gt;""),"Closed recorded","Missing evidence/reviewer"),IF(Q63="N/A approved",IF(AND(T63&lt;&gt;"",S63&lt;&gt;""),"N/A recorded","Missing applicability approval"),"Open"))</x:f>
        <x:v>Open</x:v>
      </x:c>
      <x:c r="V63" s="5" t="str">
        <x:v>Normativa/IEC 62443-4-1 2018.pdf</x:v>
      </x:c>
      <x:c r="W63" s="5" t="str"/>
    </x:row>
    <x:row r="64" ht="36" customHeight="1">
      <x:c r="A64" s="5" t="str">
        <x:v>SDL-SD-4-02</x:v>
      </x:c>
      <x:c r="B64" s="5" t="str">
        <x:v>SD-4</x:v>
      </x:c>
      <x:c r="C64" s="5" t="str">
        <x:v>Design best practices</x:v>
      </x:c>
      <x:c r="D64" s="5" t="str">
        <x:v>Apply least privilege and use proven secure components/designs where possible</x:v>
      </x:c>
      <x:c r="E64" s="5" t="str">
        <x:v>Mandatory</x:v>
      </x:c>
      <x:c r="F64" s="5" t="str">
        <x:v>In-scope product</x:v>
      </x:c>
      <x:c r="G64" s="5" t="str"/>
      <x:c r="H64" s="5" t="str">
        <x:v>7.5.1</x:v>
      </x:c>
      <x:c r="I64" s="5" t="str">
        <x:v>34-35</x:v>
      </x:c>
      <x:c r="J64" s="5" t="str">
        <x:v>32,33</x:v>
      </x:c>
      <x:c r="K64" s="5" t="str">
        <x:v>Architecture/CCI_Runtime_Dataflow_Architecture.md; Architecture/Software_Architecture.md; knowledge-base/08-engineering/CCI_62443_Zones.md</x:v>
      </x:c>
      <x:c r="L64" s="5" t="str">
        <x:v>HiTEKS architect</x:v>
      </x:c>
      <x:c r="M64" s="5" t="str">
        <x:v>Not demonstrated</x:v>
      </x:c>
      <x:c r="N64" s="5" t="str">
        <x:v>Not demonstrated</x:v>
      </x:c>
      <x:c r="O64" s="5" t="str">
        <x:v>Approved design/traceability review; exercise the relevant trust boundary and record residual risks. Verify: Apply least privilege and use proven secure components/designs where possible.</x:v>
      </x:c>
      <x:c r="P64" s="10" t="str"/>
      <x:c r="Q64" s="10" t="str">
        <x:v>Open</x:v>
      </x:c>
      <x:c r="R64" s="10" t="str"/>
      <x:c r="S64" s="10" t="str"/>
      <x:c r="T64" s="10" t="str"/>
      <x:c r="U64" s="5" t="str">
        <x:f>IF(Q64="Closed",IF(AND(R64&lt;&gt;"",S64&lt;&gt;""),"Closed recorded","Missing evidence/reviewer"),IF(Q64="N/A approved",IF(AND(T64&lt;&gt;"",S64&lt;&gt;""),"N/A recorded","Missing applicability approval"),"Open"))</x:f>
        <x:v>Open</x:v>
      </x:c>
      <x:c r="V64" s="5" t="str">
        <x:v>Normativa/IEC 62443-4-1 2018.pdf</x:v>
      </x:c>
      <x:c r="W64" s="5" t="str"/>
    </x:row>
    <x:row r="65" ht="36" customHeight="1">
      <x:c r="A65" s="5" t="str">
        <x:v>SDL-SD-4-03</x:v>
      </x:c>
      <x:c r="B65" s="5" t="str">
        <x:v>SD-4</x:v>
      </x:c>
      <x:c r="C65" s="5" t="str">
        <x:v>Design best practices</x:v>
      </x:c>
      <x:c r="D65" s="5" t="str">
        <x:v>Use simple mechanisms and secure design patterns</x:v>
      </x:c>
      <x:c r="E65" s="5" t="str">
        <x:v>Mandatory</x:v>
      </x:c>
      <x:c r="F65" s="5" t="str">
        <x:v>In-scope product</x:v>
      </x:c>
      <x:c r="G65" s="5" t="str"/>
      <x:c r="H65" s="5" t="str">
        <x:v>7.5.1</x:v>
      </x:c>
      <x:c r="I65" s="5" t="str">
        <x:v>34-35</x:v>
      </x:c>
      <x:c r="J65" s="5" t="str">
        <x:v>32,33</x:v>
      </x:c>
      <x:c r="K65" s="5" t="str">
        <x:v>Architecture/CCI_Runtime_Dataflow_Architecture.md; Architecture/Software_Architecture.md; knowledge-base/08-engineering/CCI_62443_Zones.md</x:v>
      </x:c>
      <x:c r="L65" s="5" t="str">
        <x:v>HiTEKS architect</x:v>
      </x:c>
      <x:c r="M65" s="5" t="str">
        <x:v>Not demonstrated</x:v>
      </x:c>
      <x:c r="N65" s="5" t="str">
        <x:v>Not demonstrated</x:v>
      </x:c>
      <x:c r="O65" s="5" t="str">
        <x:v>Approved design/traceability review; exercise the relevant trust boundary and record residual risks. Verify: Use simple mechanisms and secure design patterns.</x:v>
      </x:c>
      <x:c r="P65" s="10" t="str"/>
      <x:c r="Q65" s="10" t="str">
        <x:v>Open</x:v>
      </x:c>
      <x:c r="R65" s="10" t="str"/>
      <x:c r="S65" s="10" t="str"/>
      <x:c r="T65" s="10" t="str"/>
      <x:c r="U65" s="5" t="str">
        <x:f>IF(Q65="Closed",IF(AND(R65&lt;&gt;"",S65&lt;&gt;""),"Closed recorded","Missing evidence/reviewer"),IF(Q65="N/A approved",IF(AND(T65&lt;&gt;"",S65&lt;&gt;""),"N/A recorded","Missing applicability approval"),"Open"))</x:f>
        <x:v>Open</x:v>
      </x:c>
      <x:c r="V65" s="5" t="str">
        <x:v>Normativa/IEC 62443-4-1 2018.pdf</x:v>
      </x:c>
      <x:c r="W65" s="5" t="str"/>
    </x:row>
    <x:row r="66" ht="36" customHeight="1">
      <x:c r="A66" s="5" t="str">
        <x:v>SDL-SD-4-04</x:v>
      </x:c>
      <x:c r="B66" s="5" t="str">
        <x:v>SD-4</x:v>
      </x:c>
      <x:c r="C66" s="5" t="str">
        <x:v>Design best practices</x:v>
      </x:c>
      <x:c r="D66" s="5" t="str">
        <x:v>Reduce attack surface and document trust boundaries</x:v>
      </x:c>
      <x:c r="E66" s="5" t="str">
        <x:v>Mandatory</x:v>
      </x:c>
      <x:c r="F66" s="5" t="str">
        <x:v>In-scope product</x:v>
      </x:c>
      <x:c r="G66" s="5" t="str"/>
      <x:c r="H66" s="5" t="str">
        <x:v>7.5.1</x:v>
      </x:c>
      <x:c r="I66" s="5" t="str">
        <x:v>34-35</x:v>
      </x:c>
      <x:c r="J66" s="5" t="str">
        <x:v>32,33</x:v>
      </x:c>
      <x:c r="K66" s="5" t="str">
        <x:v>Architecture/CCI_Runtime_Dataflow_Architecture.md; Architecture/Software_Architecture.md; knowledge-base/08-engineering/CCI_62443_Zones.md</x:v>
      </x:c>
      <x:c r="L66" s="5" t="str">
        <x:v>HiTEKS architect</x:v>
      </x:c>
      <x:c r="M66" s="5" t="str">
        <x:v>Not demonstrated</x:v>
      </x:c>
      <x:c r="N66" s="5" t="str">
        <x:v>Not demonstrated</x:v>
      </x:c>
      <x:c r="O66" s="5" t="str">
        <x:v>Approved design/traceability review; exercise the relevant trust boundary and record residual risks. Verify: Reduce attack surface and document trust boundaries.</x:v>
      </x:c>
      <x:c r="P66" s="10" t="str"/>
      <x:c r="Q66" s="10" t="str">
        <x:v>Open</x:v>
      </x:c>
      <x:c r="R66" s="10" t="str"/>
      <x:c r="S66" s="10" t="str"/>
      <x:c r="T66" s="10" t="str"/>
      <x:c r="U66" s="5" t="str">
        <x:f>IF(Q66="Closed",IF(AND(R66&lt;&gt;"",S66&lt;&gt;""),"Closed recorded","Missing evidence/reviewer"),IF(Q66="N/A approved",IF(AND(T66&lt;&gt;"",S66&lt;&gt;""),"N/A recorded","Missing applicability approval"),"Open"))</x:f>
        <x:v>Open</x:v>
      </x:c>
      <x:c r="V66" s="5" t="str">
        <x:v>Normativa/IEC 62443-4-1 2018.pdf</x:v>
      </x:c>
      <x:c r="W66" s="5" t="str"/>
    </x:row>
    <x:row r="67" ht="47" customHeight="1">
      <x:c r="A67" s="5" t="str">
        <x:v>SDL-SD-4-05</x:v>
      </x:c>
      <x:c r="B67" s="5" t="str">
        <x:v>SD-4</x:v>
      </x:c>
      <x:c r="C67" s="5" t="str">
        <x:v>Design best practices</x:v>
      </x:c>
      <x:c r="D67" s="5" t="str">
        <x:v>Remove development debug ports/headers/traces from production boards or document and protect them</x:v>
      </x:c>
      <x:c r="E67" s="5" t="str">
        <x:v>Mandatory</x:v>
      </x:c>
      <x:c r="F67" s="5" t="str">
        <x:v>In-scope product</x:v>
      </x:c>
      <x:c r="G67" s="5" t="str"/>
      <x:c r="H67" s="5" t="str">
        <x:v>7.5.1</x:v>
      </x:c>
      <x:c r="I67" s="5" t="str">
        <x:v>34-35</x:v>
      </x:c>
      <x:c r="J67" s="5" t="str">
        <x:v>32,33</x:v>
      </x:c>
      <x:c r="K67" s="5" t="str">
        <x:v>Architecture/CCI_Runtime_Dataflow_Architecture.md; Architecture/Software_Architecture.md; knowledge-base/08-engineering/CCI_62443_Zones.md</x:v>
      </x:c>
      <x:c r="L67" s="5" t="str">
        <x:v>HiTEKS architect</x:v>
      </x:c>
      <x:c r="M67" s="5" t="str">
        <x:v>Not demonstrated</x:v>
      </x:c>
      <x:c r="N67" s="5" t="str">
        <x:v>Not demonstrated</x:v>
      </x:c>
      <x:c r="O67" s="5" t="str">
        <x:v>Approved design/traceability review; exercise the relevant trust boundary and record residual risks. Verify: Remove development debug ports/headers/traces from production boards or document and protect them.</x:v>
      </x:c>
      <x:c r="P67" s="10" t="str"/>
      <x:c r="Q67" s="10" t="str">
        <x:v>Open</x:v>
      </x:c>
      <x:c r="R67" s="10" t="str"/>
      <x:c r="S67" s="10" t="str"/>
      <x:c r="T67" s="10" t="str"/>
      <x:c r="U67" s="5" t="str">
        <x:f>IF(Q67="Closed",IF(AND(R67&lt;&gt;"",S67&lt;&gt;""),"Closed recorded","Missing evidence/reviewer"),IF(Q67="N/A approved",IF(AND(T67&lt;&gt;"",S67&lt;&gt;""),"N/A recorded","Missing applicability approval"),"Open"))</x:f>
        <x:v>Open</x:v>
      </x:c>
      <x:c r="V67" s="5" t="str">
        <x:v>Normativa/IEC 62443-4-1 2018.pdf</x:v>
      </x:c>
      <x:c r="W67" s="5" t="str"/>
    </x:row>
    <x:row r="68" ht="36" customHeight="1">
      <x:c r="A68" s="5" t="str">
        <x:v>SDL-SI-1-01</x:v>
      </x:c>
      <x:c r="B68" s="5" t="str">
        <x:v>SI-1</x:v>
      </x:c>
      <x:c r="C68" s="5" t="str">
        <x:v>Implementation review</x:v>
      </x:c>
      <x:c r="D68" s="5" t="str">
        <x:v>Review unmet security requirements and secure coding violations</x:v>
      </x:c>
      <x:c r="E68" s="5" t="str">
        <x:v>Mandatory</x:v>
      </x:c>
      <x:c r="F68" s="5" t="str">
        <x:v>In-scope product</x:v>
      </x:c>
      <x:c r="G68" s="5" t="str"/>
      <x:c r="H68" s="5" t="str">
        <x:v>8.3.1</x:v>
      </x:c>
      <x:c r="I68" s="5" t="str">
        <x:v>35-36</x:v>
      </x:c>
      <x:c r="J68" s="5" t="str">
        <x:v>33,34</x:v>
      </x:c>
      <x:c r="K68" s="5" t="str">
        <x:v>apps/ccli/core; apps/ccli/adapters; apps/ccli/CMakeLists.txt; apps/ccli/tests/unit; CI/code-review work required</x:v>
      </x:c>
      <x:c r="L68" s="5" t="str">
        <x:v>HiTEKS firmware lead</x:v>
      </x:c>
      <x:c r="M68" s="5" t="str">
        <x:v>Existing implementation area; requirement acceptance open</x:v>
      </x:c>
      <x:c r="N68" s="5" t="str">
        <x:v>Not demonstrated</x:v>
      </x:c>
      <x:c r="O68" s="5" t="str">
        <x:v>Review record plus reproducible automated analysis/regression results for the frozen source. Verify: Review unmet security requirements and secure coding violations.</x:v>
      </x:c>
      <x:c r="P68" s="10" t="str"/>
      <x:c r="Q68" s="10" t="str">
        <x:v>Open</x:v>
      </x:c>
      <x:c r="R68" s="10" t="str"/>
      <x:c r="S68" s="10" t="str"/>
      <x:c r="T68" s="10" t="str"/>
      <x:c r="U68" s="5" t="str">
        <x:f>IF(Q68="Closed",IF(AND(R68&lt;&gt;"",S68&lt;&gt;""),"Closed recorded","Missing evidence/reviewer"),IF(Q68="N/A approved",IF(AND(T68&lt;&gt;"",S68&lt;&gt;""),"N/A recorded","Missing applicability approval"),"Open"))</x:f>
        <x:v>Open</x:v>
      </x:c>
      <x:c r="V68" s="5" t="str">
        <x:v>Normativa/IEC 62443-4-1 2018.pdf</x:v>
      </x:c>
      <x:c r="W68" s="5" t="str"/>
    </x:row>
    <x:row r="69" ht="36" customHeight="1">
      <x:c r="A69" s="5" t="str">
        <x:v>SDL-SI-1-02</x:v>
      </x:c>
      <x:c r="B69" s="5" t="str">
        <x:v>SI-1</x:v>
      </x:c>
      <x:c r="C69" s="5" t="str">
        <x:v>Implementation review</x:v>
      </x:c>
      <x:c r="D69" s="5" t="str">
        <x:v>Perform static code analysis on every source change including new code</x:v>
      </x:c>
      <x:c r="E69" s="5" t="str">
        <x:v>Mandatory</x:v>
      </x:c>
      <x:c r="F69" s="5" t="str">
        <x:v>In-scope product</x:v>
      </x:c>
      <x:c r="G69" s="5" t="str"/>
      <x:c r="H69" s="5" t="str">
        <x:v>8.3.1</x:v>
      </x:c>
      <x:c r="I69" s="5" t="str">
        <x:v>35-36</x:v>
      </x:c>
      <x:c r="J69" s="5" t="str">
        <x:v>33,34</x:v>
      </x:c>
      <x:c r="K69" s="5" t="str">
        <x:v>apps/ccli/core; apps/ccli/adapters; apps/ccli/CMakeLists.txt; apps/ccli/tests/unit; CI/code-review work required</x:v>
      </x:c>
      <x:c r="L69" s="5" t="str">
        <x:v>HiTEKS firmware lead</x:v>
      </x:c>
      <x:c r="M69" s="5" t="str">
        <x:v>Existing implementation area; requirement acceptance open</x:v>
      </x:c>
      <x:c r="N69" s="5" t="str">
        <x:v>Not demonstrated</x:v>
      </x:c>
      <x:c r="O69" s="5" t="str">
        <x:v>Review record plus reproducible automated analysis/regression results for the frozen source. Verify: Perform static code analysis on every source change including new code.</x:v>
      </x:c>
      <x:c r="P69" s="10" t="str"/>
      <x:c r="Q69" s="10" t="str">
        <x:v>Open</x:v>
      </x:c>
      <x:c r="R69" s="10" t="str"/>
      <x:c r="S69" s="10" t="str"/>
      <x:c r="T69" s="10" t="str"/>
      <x:c r="U69" s="5" t="str">
        <x:f>IF(Q69="Closed",IF(AND(R69&lt;&gt;"",S69&lt;&gt;""),"Closed recorded","Missing evidence/reviewer"),IF(Q69="N/A approved",IF(AND(T69&lt;&gt;"",S69&lt;&gt;""),"N/A recorded","Missing applicability approval"),"Open"))</x:f>
        <x:v>Open</x:v>
      </x:c>
      <x:c r="V69" s="5" t="str">
        <x:v>Normativa/IEC 62443-4-1 2018.pdf</x:v>
      </x:c>
      <x:c r="W69" s="5" t="str"/>
    </x:row>
    <x:row r="70" ht="36" customHeight="1">
      <x:c r="A70" s="5" t="str">
        <x:v>SDL-SI-1-03</x:v>
      </x:c>
      <x:c r="B70" s="5" t="str">
        <x:v>SI-1</x:v>
      </x:c>
      <x:c r="C70" s="5" t="str">
        <x:v>Implementation review</x:v>
      </x:c>
      <x:c r="D70" s="5" t="str">
        <x:v>Use a static-analysis tool where one exists for the language</x:v>
      </x:c>
      <x:c r="E70" s="5" t="str">
        <x:v>Mandatory</x:v>
      </x:c>
      <x:c r="F70" s="5" t="str">
        <x:v>In-scope product</x:v>
      </x:c>
      <x:c r="G70" s="5" t="str"/>
      <x:c r="H70" s="5" t="str">
        <x:v>8.3.1</x:v>
      </x:c>
      <x:c r="I70" s="5" t="str">
        <x:v>35-36</x:v>
      </x:c>
      <x:c r="J70" s="5" t="str">
        <x:v>33,34</x:v>
      </x:c>
      <x:c r="K70" s="5" t="str">
        <x:v>apps/ccli/core; apps/ccli/adapters; apps/ccli/CMakeLists.txt; apps/ccli/tests/unit; CI/code-review work required</x:v>
      </x:c>
      <x:c r="L70" s="5" t="str">
        <x:v>HiTEKS firmware lead</x:v>
      </x:c>
      <x:c r="M70" s="5" t="str">
        <x:v>Existing implementation area; requirement acceptance open</x:v>
      </x:c>
      <x:c r="N70" s="5" t="str">
        <x:v>Not demonstrated</x:v>
      </x:c>
      <x:c r="O70" s="5" t="str">
        <x:v>Review record plus reproducible automated analysis/regression results for the frozen source. Verify: Use a static-analysis tool where one exists for the language.</x:v>
      </x:c>
      <x:c r="P70" s="10" t="str"/>
      <x:c r="Q70" s="10" t="str">
        <x:v>Open</x:v>
      </x:c>
      <x:c r="R70" s="10" t="str"/>
      <x:c r="S70" s="10" t="str"/>
      <x:c r="T70" s="10" t="str"/>
      <x:c r="U70" s="5" t="str">
        <x:f>IF(Q70="Closed",IF(AND(R70&lt;&gt;"",S70&lt;&gt;""),"Closed recorded","Missing evidence/reviewer"),IF(Q70="N/A approved",IF(AND(T70&lt;&gt;"",S70&lt;&gt;""),"N/A recorded","Missing applicability approval"),"Open"))</x:f>
        <x:v>Open</x:v>
      </x:c>
      <x:c r="V70" s="5" t="str">
        <x:v>Normativa/IEC 62443-4-1 2018.pdf</x:v>
      </x:c>
      <x:c r="W70" s="5" t="str"/>
    </x:row>
    <x:row r="71" ht="36" customHeight="1">
      <x:c r="A71" s="5" t="str">
        <x:v>SDL-SI-1-04</x:v>
      </x:c>
      <x:c r="B71" s="5" t="str">
        <x:v>SI-1</x:v>
      </x:c>
      <x:c r="C71" s="5" t="str">
        <x:v>Implementation review</x:v>
      </x:c>
      <x:c r="D71" s="5" t="str">
        <x:v>Review implementation traceability to the security design</x:v>
      </x:c>
      <x:c r="E71" s="5" t="str">
        <x:v>Mandatory</x:v>
      </x:c>
      <x:c r="F71" s="5" t="str">
        <x:v>In-scope product</x:v>
      </x:c>
      <x:c r="G71" s="5" t="str"/>
      <x:c r="H71" s="5" t="str">
        <x:v>8.3.1</x:v>
      </x:c>
      <x:c r="I71" s="5" t="str">
        <x:v>35-36</x:v>
      </x:c>
      <x:c r="J71" s="5" t="str">
        <x:v>33,34</x:v>
      </x:c>
      <x:c r="K71" s="5" t="str">
        <x:v>apps/ccli/core; apps/ccli/adapters; apps/ccli/CMakeLists.txt; apps/ccli/tests/unit; CI/code-review work required</x:v>
      </x:c>
      <x:c r="L71" s="5" t="str">
        <x:v>HiTEKS firmware lead</x:v>
      </x:c>
      <x:c r="M71" s="5" t="str">
        <x:v>Existing implementation area; requirement acceptance open</x:v>
      </x:c>
      <x:c r="N71" s="5" t="str">
        <x:v>Not demonstrated</x:v>
      </x:c>
      <x:c r="O71" s="5" t="str">
        <x:v>Review record plus reproducible automated analysis/regression results for the frozen source. Verify: Review implementation traceability to the security design.</x:v>
      </x:c>
      <x:c r="P71" s="10" t="str"/>
      <x:c r="Q71" s="10" t="str">
        <x:v>Open</x:v>
      </x:c>
      <x:c r="R71" s="10" t="str"/>
      <x:c r="S71" s="10" t="str"/>
      <x:c r="T71" s="10" t="str"/>
      <x:c r="U71" s="5" t="str">
        <x:f>IF(Q71="Closed",IF(AND(R71&lt;&gt;"",S71&lt;&gt;""),"Closed recorded","Missing evidence/reviewer"),IF(Q71="N/A approved",IF(AND(T71&lt;&gt;"",S71&lt;&gt;""),"N/A recorded","Missing applicability approval"),"Open"))</x:f>
        <x:v>Open</x:v>
      </x:c>
      <x:c r="V71" s="5" t="str">
        <x:v>Normativa/IEC 62443-4-1 2018.pdf</x:v>
      </x:c>
      <x:c r="W71" s="5" t="str"/>
    </x:row>
    <x:row r="72" ht="36" customHeight="1">
      <x:c r="A72" s="5" t="str">
        <x:v>SDL-SI-1-05</x:v>
      </x:c>
      <x:c r="B72" s="5" t="str">
        <x:v>SI-1</x:v>
      </x:c>
      <x:c r="C72" s="5" t="str">
        <x:v>Implementation review</x:v>
      </x:c>
      <x:c r="D72" s="5" t="str">
        <x:v>Examine exploitable interfaces, trust boundaries and assets</x:v>
      </x:c>
      <x:c r="E72" s="5" t="str">
        <x:v>Mandatory</x:v>
      </x:c>
      <x:c r="F72" s="5" t="str">
        <x:v>In-scope product</x:v>
      </x:c>
      <x:c r="G72" s="5" t="str"/>
      <x:c r="H72" s="5" t="str">
        <x:v>8.3.1</x:v>
      </x:c>
      <x:c r="I72" s="5" t="str">
        <x:v>35-36</x:v>
      </x:c>
      <x:c r="J72" s="5" t="str">
        <x:v>33,34</x:v>
      </x:c>
      <x:c r="K72" s="5" t="str">
        <x:v>apps/ccli/core; apps/ccli/adapters; apps/ccli/CMakeLists.txt; apps/ccli/tests/unit; CI/code-review work required</x:v>
      </x:c>
      <x:c r="L72" s="5" t="str">
        <x:v>HiTEKS firmware lead</x:v>
      </x:c>
      <x:c r="M72" s="5" t="str">
        <x:v>Existing implementation area; requirement acceptance open</x:v>
      </x:c>
      <x:c r="N72" s="5" t="str">
        <x:v>Not demonstrated</x:v>
      </x:c>
      <x:c r="O72" s="5" t="str">
        <x:v>Review record plus reproducible automated analysis/regression results for the frozen source. Verify: Examine exploitable interfaces, trust boundaries and assets.</x:v>
      </x:c>
      <x:c r="P72" s="10" t="str"/>
      <x:c r="Q72" s="10" t="str">
        <x:v>Open</x:v>
      </x:c>
      <x:c r="R72" s="10" t="str"/>
      <x:c r="S72" s="10" t="str"/>
      <x:c r="T72" s="10" t="str"/>
      <x:c r="U72" s="5" t="str">
        <x:f>IF(Q72="Closed",IF(AND(R72&lt;&gt;"",S72&lt;&gt;""),"Closed recorded","Missing evidence/reviewer"),IF(Q72="N/A approved",IF(AND(T72&lt;&gt;"",S72&lt;&gt;""),"N/A recorded","Missing applicability approval"),"Open"))</x:f>
        <x:v>Open</x:v>
      </x:c>
      <x:c r="V72" s="5" t="str">
        <x:v>Normativa/IEC 62443-4-1 2018.pdf</x:v>
      </x:c>
      <x:c r="W72" s="5" t="str"/>
    </x:row>
    <x:row r="73" ht="36" customHeight="1">
      <x:c r="A73" s="5" t="str">
        <x:v>SDL-SI-1-06</x:v>
      </x:c>
      <x:c r="B73" s="5" t="str">
        <x:v>SI-1</x:v>
      </x:c>
      <x:c r="C73" s="5" t="str">
        <x:v>Implementation review</x:v>
      </x:c>
      <x:c r="D73" s="5" t="str">
        <x:v>Characterize and track implementation security issues to closure</x:v>
      </x:c>
      <x:c r="E73" s="5" t="str">
        <x:v>Mandatory</x:v>
      </x:c>
      <x:c r="F73" s="5" t="str">
        <x:v>In-scope product</x:v>
      </x:c>
      <x:c r="G73" s="5" t="str"/>
      <x:c r="H73" s="5" t="str">
        <x:v>8.3.1</x:v>
      </x:c>
      <x:c r="I73" s="5" t="str">
        <x:v>35-36</x:v>
      </x:c>
      <x:c r="J73" s="5" t="str">
        <x:v>33,34</x:v>
      </x:c>
      <x:c r="K73" s="5" t="str">
        <x:v>apps/ccli/core; apps/ccli/adapters; apps/ccli/CMakeLists.txt; apps/ccli/tests/unit; CI/code-review work required</x:v>
      </x:c>
      <x:c r="L73" s="5" t="str">
        <x:v>HiTEKS firmware lead</x:v>
      </x:c>
      <x:c r="M73" s="5" t="str">
        <x:v>Existing implementation area; requirement acceptance open</x:v>
      </x:c>
      <x:c r="N73" s="5" t="str">
        <x:v>Not demonstrated</x:v>
      </x:c>
      <x:c r="O73" s="5" t="str">
        <x:v>Review record plus reproducible automated analysis/regression results for the frozen source. Verify: Characterize and track implementation security issues to closure.</x:v>
      </x:c>
      <x:c r="P73" s="10" t="str"/>
      <x:c r="Q73" s="10" t="str">
        <x:v>Open</x:v>
      </x:c>
      <x:c r="R73" s="10" t="str"/>
      <x:c r="S73" s="10" t="str"/>
      <x:c r="T73" s="10" t="str"/>
      <x:c r="U73" s="5" t="str">
        <x:f>IF(Q73="Closed",IF(AND(R73&lt;&gt;"",S73&lt;&gt;""),"Closed recorded","Missing evidence/reviewer"),IF(Q73="N/A approved",IF(AND(T73&lt;&gt;"",S73&lt;&gt;""),"N/A recorded","Missing applicability approval"),"Open"))</x:f>
        <x:v>Open</x:v>
      </x:c>
      <x:c r="V73" s="5" t="str">
        <x:v>Normativa/IEC 62443-4-1 2018.pdf</x:v>
      </x:c>
      <x:c r="W73" s="5" t="str"/>
    </x:row>
    <x:row r="74" ht="36" customHeight="1">
      <x:c r="A74" s="5" t="str">
        <x:v>SDL-SI-2-01</x:v>
      </x:c>
      <x:c r="B74" s="5" t="str">
        <x:v>SI-2</x:v>
      </x:c>
      <x:c r="C74" s="5" t="str">
        <x:v>Secure coding</x:v>
      </x:c>
      <x:c r="D74" s="5" t="str">
        <x:v>Maintain periodically reviewed security coding standards</x:v>
      </x:c>
      <x:c r="E74" s="5" t="str">
        <x:v>Mandatory</x:v>
      </x:c>
      <x:c r="F74" s="5" t="str">
        <x:v>In-scope product</x:v>
      </x:c>
      <x:c r="G74" s="5" t="str"/>
      <x:c r="H74" s="5" t="str">
        <x:v>8.4.1</x:v>
      </x:c>
      <x:c r="I74" s="5" t="str">
        <x:v>36</x:v>
      </x:c>
      <x:c r="J74" s="5" t="str">
        <x:v>34</x:v>
      </x:c>
      <x:c r="K74" s="5" t="str">
        <x:v>apps/ccli/core; apps/ccli/adapters; apps/ccli/CMakeLists.txt; apps/ccli/tests/unit; CI/code-review work required</x:v>
      </x:c>
      <x:c r="L74" s="5" t="str">
        <x:v>HiTEKS firmware lead</x:v>
      </x:c>
      <x:c r="M74" s="5" t="str">
        <x:v>Existing implementation area; requirement acceptance open</x:v>
      </x:c>
      <x:c r="N74" s="5" t="str">
        <x:v>Not demonstrated</x:v>
      </x:c>
      <x:c r="O74" s="5" t="str">
        <x:v>Review record plus reproducible automated analysis/regression results for the frozen source. Verify: Maintain periodically reviewed security coding standards.</x:v>
      </x:c>
      <x:c r="P74" s="10" t="str"/>
      <x:c r="Q74" s="10" t="str">
        <x:v>Open</x:v>
      </x:c>
      <x:c r="R74" s="10" t="str"/>
      <x:c r="S74" s="10" t="str"/>
      <x:c r="T74" s="10" t="str"/>
      <x:c r="U74" s="5" t="str">
        <x:f>IF(Q74="Closed",IF(AND(R74&lt;&gt;"",S74&lt;&gt;""),"Closed recorded","Missing evidence/reviewer"),IF(Q74="N/A approved",IF(AND(T74&lt;&gt;"",S74&lt;&gt;""),"N/A recorded","Missing applicability approval"),"Open"))</x:f>
        <x:v>Open</x:v>
      </x:c>
      <x:c r="V74" s="5" t="str">
        <x:v>Normativa/IEC 62443-4-1 2018.pdf</x:v>
      </x:c>
      <x:c r="W74" s="5" t="str"/>
    </x:row>
    <x:row r="75" ht="36" customHeight="1">
      <x:c r="A75" s="5" t="str">
        <x:v>SDL-SI-2-02</x:v>
      </x:c>
      <x:c r="B75" s="5" t="str">
        <x:v>SI-2</x:v>
      </x:c>
      <x:c r="C75" s="5" t="str">
        <x:v>Secure coding</x:v>
      </x:c>
      <x:c r="D75" s="5" t="str">
        <x:v>Avoid exploitable constructs/patterns and banned functions</x:v>
      </x:c>
      <x:c r="E75" s="5" t="str">
        <x:v>Mandatory</x:v>
      </x:c>
      <x:c r="F75" s="5" t="str">
        <x:v>In-scope product</x:v>
      </x:c>
      <x:c r="G75" s="5" t="str"/>
      <x:c r="H75" s="5" t="str">
        <x:v>8.4.1</x:v>
      </x:c>
      <x:c r="I75" s="5" t="str">
        <x:v>36</x:v>
      </x:c>
      <x:c r="J75" s="5" t="str">
        <x:v>34</x:v>
      </x:c>
      <x:c r="K75" s="5" t="str">
        <x:v>apps/ccli/core; apps/ccli/adapters; apps/ccli/CMakeLists.txt; apps/ccli/tests/unit; CI/code-review work required</x:v>
      </x:c>
      <x:c r="L75" s="5" t="str">
        <x:v>HiTEKS firmware lead</x:v>
      </x:c>
      <x:c r="M75" s="5" t="str">
        <x:v>Existing implementation area; requirement acceptance open</x:v>
      </x:c>
      <x:c r="N75" s="5" t="str">
        <x:v>Not demonstrated</x:v>
      </x:c>
      <x:c r="O75" s="5" t="str">
        <x:v>Review record plus reproducible automated analysis/regression results for the frozen source. Verify: Avoid exploitable constructs/patterns and banned functions.</x:v>
      </x:c>
      <x:c r="P75" s="10" t="str"/>
      <x:c r="Q75" s="10" t="str">
        <x:v>Open</x:v>
      </x:c>
      <x:c r="R75" s="10" t="str"/>
      <x:c r="S75" s="10" t="str"/>
      <x:c r="T75" s="10" t="str"/>
      <x:c r="U75" s="5" t="str">
        <x:f>IF(Q75="Closed",IF(AND(R75&lt;&gt;"",S75&lt;&gt;""),"Closed recorded","Missing evidence/reviewer"),IF(Q75="N/A approved",IF(AND(T75&lt;&gt;"",S75&lt;&gt;""),"N/A recorded","Missing applicability approval"),"Open"))</x:f>
        <x:v>Open</x:v>
      </x:c>
      <x:c r="V75" s="5" t="str">
        <x:v>Normativa/IEC 62443-4-1 2018.pdf</x:v>
      </x:c>
      <x:c r="W75" s="5" t="str"/>
    </x:row>
    <x:row r="76" ht="36" customHeight="1">
      <x:c r="A76" s="5" t="str">
        <x:v>SDL-SI-2-03</x:v>
      </x:c>
      <x:c r="B76" s="5" t="str">
        <x:v>SI-2</x:v>
      </x:c>
      <x:c r="C76" s="5" t="str">
        <x:v>Secure coding</x:v>
      </x:c>
      <x:c r="D76" s="5" t="str">
        <x:v>Define automated-tool settings and secure coding practices</x:v>
      </x:c>
      <x:c r="E76" s="5" t="str">
        <x:v>Mandatory</x:v>
      </x:c>
      <x:c r="F76" s="5" t="str">
        <x:v>In-scope product</x:v>
      </x:c>
      <x:c r="G76" s="5" t="str"/>
      <x:c r="H76" s="5" t="str">
        <x:v>8.4.1</x:v>
      </x:c>
      <x:c r="I76" s="5" t="str">
        <x:v>36</x:v>
      </x:c>
      <x:c r="J76" s="5" t="str">
        <x:v>34</x:v>
      </x:c>
      <x:c r="K76" s="5" t="str">
        <x:v>apps/ccli/core; apps/ccli/adapters; apps/ccli/CMakeLists.txt; apps/ccli/tests/unit; CI/code-review work required</x:v>
      </x:c>
      <x:c r="L76" s="5" t="str">
        <x:v>HiTEKS firmware lead</x:v>
      </x:c>
      <x:c r="M76" s="5" t="str">
        <x:v>Existing implementation area; requirement acceptance open</x:v>
      </x:c>
      <x:c r="N76" s="5" t="str">
        <x:v>Not demonstrated</x:v>
      </x:c>
      <x:c r="O76" s="5" t="str">
        <x:v>Review record plus reproducible automated analysis/regression results for the frozen source. Verify: Define automated-tool settings and secure coding practices.</x:v>
      </x:c>
      <x:c r="P76" s="10" t="str"/>
      <x:c r="Q76" s="10" t="str">
        <x:v>Open</x:v>
      </x:c>
      <x:c r="R76" s="10" t="str"/>
      <x:c r="S76" s="10" t="str"/>
      <x:c r="T76" s="10" t="str"/>
      <x:c r="U76" s="5" t="str">
        <x:f>IF(Q76="Closed",IF(AND(R76&lt;&gt;"",S76&lt;&gt;""),"Closed recorded","Missing evidence/reviewer"),IF(Q76="N/A approved",IF(AND(T76&lt;&gt;"",S76&lt;&gt;""),"N/A recorded","Missing applicability approval"),"Open"))</x:f>
        <x:v>Open</x:v>
      </x:c>
      <x:c r="V76" s="5" t="str">
        <x:v>Normativa/IEC 62443-4-1 2018.pdf</x:v>
      </x:c>
      <x:c r="W76" s="5" t="str"/>
    </x:row>
    <x:row r="77" ht="36" customHeight="1">
      <x:c r="A77" s="5" t="str">
        <x:v>SDL-SI-2-04</x:v>
      </x:c>
      <x:c r="B77" s="5" t="str">
        <x:v>SI-2</x:v>
      </x:c>
      <x:c r="C77" s="5" t="str">
        <x:v>Secure coding</x:v>
      </x:c>
      <x:c r="D77" s="5" t="str">
        <x:v>Validate all trust-boundary inputs</x:v>
      </x:c>
      <x:c r="E77" s="5" t="str">
        <x:v>Mandatory</x:v>
      </x:c>
      <x:c r="F77" s="5" t="str">
        <x:v>In-scope product</x:v>
      </x:c>
      <x:c r="G77" s="5" t="str"/>
      <x:c r="H77" s="5" t="str">
        <x:v>8.4.1</x:v>
      </x:c>
      <x:c r="I77" s="5" t="str">
        <x:v>36</x:v>
      </x:c>
      <x:c r="J77" s="5" t="str">
        <x:v>34</x:v>
      </x:c>
      <x:c r="K77" s="5" t="str">
        <x:v>apps/ccli/core; apps/ccli/adapters; apps/ccli/CMakeLists.txt; apps/ccli/tests/unit; CI/code-review work required</x:v>
      </x:c>
      <x:c r="L77" s="5" t="str">
        <x:v>HiTEKS firmware lead</x:v>
      </x:c>
      <x:c r="M77" s="5" t="str">
        <x:v>Existing implementation area; requirement acceptance open</x:v>
      </x:c>
      <x:c r="N77" s="5" t="str">
        <x:v>Not demonstrated</x:v>
      </x:c>
      <x:c r="O77" s="5" t="str">
        <x:v>Review record plus reproducible automated analysis/regression results for the frozen source. Verify: Validate all trust-boundary inputs.</x:v>
      </x:c>
      <x:c r="P77" s="10" t="str"/>
      <x:c r="Q77" s="10" t="str">
        <x:v>Open</x:v>
      </x:c>
      <x:c r="R77" s="10" t="str"/>
      <x:c r="S77" s="10" t="str"/>
      <x:c r="T77" s="10" t="str"/>
      <x:c r="U77" s="5" t="str">
        <x:f>IF(Q77="Closed",IF(AND(R77&lt;&gt;"",S77&lt;&gt;""),"Closed recorded","Missing evidence/reviewer"),IF(Q77="N/A approved",IF(AND(T77&lt;&gt;"",S77&lt;&gt;""),"N/A recorded","Missing applicability approval"),"Open"))</x:f>
        <x:v>Open</x:v>
      </x:c>
      <x:c r="V77" s="5" t="str">
        <x:v>Normativa/IEC 62443-4-1 2018.pdf</x:v>
      </x:c>
      <x:c r="W77" s="5" t="str"/>
    </x:row>
    <x:row r="78" ht="36" customHeight="1">
      <x:c r="A78" s="5" t="str">
        <x:v>SDL-SI-2-05</x:v>
      </x:c>
      <x:c r="B78" s="5" t="str">
        <x:v>SI-2</x:v>
      </x:c>
      <x:c r="C78" s="5" t="str">
        <x:v>Secure coding</x:v>
      </x:c>
      <x:c r="D78" s="5" t="str">
        <x:v>Define and apply error handling</x:v>
      </x:c>
      <x:c r="E78" s="5" t="str">
        <x:v>Mandatory</x:v>
      </x:c>
      <x:c r="F78" s="5" t="str">
        <x:v>In-scope product</x:v>
      </x:c>
      <x:c r="G78" s="5" t="str"/>
      <x:c r="H78" s="5" t="str">
        <x:v>8.4.1</x:v>
      </x:c>
      <x:c r="I78" s="5" t="str">
        <x:v>36</x:v>
      </x:c>
      <x:c r="J78" s="5" t="str">
        <x:v>34</x:v>
      </x:c>
      <x:c r="K78" s="5" t="str">
        <x:v>apps/ccli/core; apps/ccli/adapters; apps/ccli/CMakeLists.txt; apps/ccli/tests/unit; CI/code-review work required</x:v>
      </x:c>
      <x:c r="L78" s="5" t="str">
        <x:v>HiTEKS firmware lead</x:v>
      </x:c>
      <x:c r="M78" s="5" t="str">
        <x:v>Existing implementation area; requirement acceptance open</x:v>
      </x:c>
      <x:c r="N78" s="5" t="str">
        <x:v>Not demonstrated</x:v>
      </x:c>
      <x:c r="O78" s="5" t="str">
        <x:v>Review record plus reproducible automated analysis/regression results for the frozen source. Verify: Define and apply error handling.</x:v>
      </x:c>
      <x:c r="P78" s="10" t="str"/>
      <x:c r="Q78" s="10" t="str">
        <x:v>Open</x:v>
      </x:c>
      <x:c r="R78" s="10" t="str"/>
      <x:c r="S78" s="10" t="str"/>
      <x:c r="T78" s="10" t="str"/>
      <x:c r="U78" s="5" t="str">
        <x:f>IF(Q78="Closed",IF(AND(R78&lt;&gt;"",S78&lt;&gt;""),"Closed recorded","Missing evidence/reviewer"),IF(Q78="N/A approved",IF(AND(T78&lt;&gt;"",S78&lt;&gt;""),"N/A recorded","Missing applicability approval"),"Open"))</x:f>
        <x:v>Open</x:v>
      </x:c>
      <x:c r="V78" s="5" t="str">
        <x:v>Normativa/IEC 62443-4-1 2018.pdf</x:v>
      </x:c>
      <x:c r="W78" s="5" t="str"/>
    </x:row>
    <x:row r="79" ht="36" customHeight="1">
      <x:c r="A79" s="5" t="str">
        <x:v>SDL-SVV-1-01</x:v>
      </x:c>
      <x:c r="B79" s="5" t="str">
        <x:v>SVV-1</x:v>
      </x:c>
      <x:c r="C79" s="5" t="str">
        <x:v>Security requirements tests</x:v>
      </x:c>
      <x:c r="D79" s="5" t="str">
        <x:v>Test security functions against requirements</x:v>
      </x:c>
      <x:c r="E79" s="5" t="str">
        <x:v>Mandatory</x:v>
      </x:c>
      <x:c r="F79" s="5" t="str">
        <x:v>In-scope product</x:v>
      </x:c>
      <x:c r="G79" s="5" t="str"/>
      <x:c r="H79" s="5" t="str">
        <x:v>9.2.1</x:v>
      </x:c>
      <x:c r="I79" s="5" t="str">
        <x:v>37</x:v>
      </x:c>
      <x:c r="J79" s="5" t="str">
        <x:v>35</x:v>
      </x:c>
      <x:c r="K79" s="5" t="str">
        <x:v>apps/ccli/tests/unit; apps/ccli/tests/integration; lab/conformance; lab/evidence; independent-test records required</x:v>
      </x:c>
      <x:c r="L79" s="5" t="str">
        <x:v>Independent QA/security test lead</x:v>
      </x:c>
      <x:c r="M79" s="5" t="str">
        <x:v>Not demonstrated</x:v>
      </x:c>
      <x:c r="N79" s="5" t="str">
        <x:v>Not demonstrated</x:v>
      </x:c>
      <x:c r="O79" s="5" t="str">
        <x:v>Versioned test plan, raw positive/negative results, tester independence and closed defects. Verify: Test security functions against requirements.</x:v>
      </x:c>
      <x:c r="P79" s="10" t="str"/>
      <x:c r="Q79" s="10" t="str">
        <x:v>Open</x:v>
      </x:c>
      <x:c r="R79" s="10" t="str"/>
      <x:c r="S79" s="10" t="str"/>
      <x:c r="T79" s="10" t="str"/>
      <x:c r="U79" s="5" t="str">
        <x:f>IF(Q79="Closed",IF(AND(R79&lt;&gt;"",S79&lt;&gt;""),"Closed recorded","Missing evidence/reviewer"),IF(Q79="N/A approved",IF(AND(T79&lt;&gt;"",S79&lt;&gt;""),"N/A recorded","Missing applicability approval"),"Open"))</x:f>
        <x:v>Open</x:v>
      </x:c>
      <x:c r="V79" s="5" t="str">
        <x:v>Normativa/IEC 62443-4-1 2018.pdf</x:v>
      </x:c>
      <x:c r="W79" s="5" t="str"/>
    </x:row>
    <x:row r="80" ht="36" customHeight="1">
      <x:c r="A80" s="5" t="str">
        <x:v>SDL-SVV-1-02</x:v>
      </x:c>
      <x:c r="B80" s="5" t="str">
        <x:v>SVV-1</x:v>
      </x:c>
      <x:c r="C80" s="5" t="str">
        <x:v>Security requirements tests</x:v>
      </x:c>
      <x:c r="D80" s="5" t="str">
        <x:v>Test error scenarios and invalid input</x:v>
      </x:c>
      <x:c r="E80" s="5" t="str">
        <x:v>Mandatory</x:v>
      </x:c>
      <x:c r="F80" s="5" t="str">
        <x:v>In-scope product</x:v>
      </x:c>
      <x:c r="G80" s="5" t="str"/>
      <x:c r="H80" s="5" t="str">
        <x:v>9.2.1</x:v>
      </x:c>
      <x:c r="I80" s="5" t="str">
        <x:v>37</x:v>
      </x:c>
      <x:c r="J80" s="5" t="str">
        <x:v>35</x:v>
      </x:c>
      <x:c r="K80" s="5" t="str">
        <x:v>apps/ccli/tests/unit; apps/ccli/tests/integration; lab/conformance; lab/evidence; independent-test records required</x:v>
      </x:c>
      <x:c r="L80" s="5" t="str">
        <x:v>Independent QA/security test lead</x:v>
      </x:c>
      <x:c r="M80" s="5" t="str">
        <x:v>Not demonstrated</x:v>
      </x:c>
      <x:c r="N80" s="5" t="str">
        <x:v>Not demonstrated</x:v>
      </x:c>
      <x:c r="O80" s="5" t="str">
        <x:v>Versioned test plan, raw positive/negative results, tester independence and closed defects. Verify: Test error scenarios and invalid input.</x:v>
      </x:c>
      <x:c r="P80" s="10" t="str"/>
      <x:c r="Q80" s="10" t="str">
        <x:v>Open</x:v>
      </x:c>
      <x:c r="R80" s="10" t="str"/>
      <x:c r="S80" s="10" t="str"/>
      <x:c r="T80" s="10" t="str"/>
      <x:c r="U80" s="5" t="str">
        <x:f>IF(Q80="Closed",IF(AND(R80&lt;&gt;"",S80&lt;&gt;""),"Closed recorded","Missing evidence/reviewer"),IF(Q80="N/A approved",IF(AND(T80&lt;&gt;"",S80&lt;&gt;""),"N/A recorded","Missing applicability approval"),"Open"))</x:f>
        <x:v>Open</x:v>
      </x:c>
      <x:c r="V80" s="5" t="str">
        <x:v>Normativa/IEC 62443-4-1 2018.pdf</x:v>
      </x:c>
      <x:c r="W80" s="5" t="str"/>
    </x:row>
    <x:row r="81" ht="36" customHeight="1">
      <x:c r="A81" s="5" t="str">
        <x:v>SDL-SVV-1-03</x:v>
      </x:c>
      <x:c r="B81" s="5" t="str">
        <x:v>SVV-1</x:v>
      </x:c>
      <x:c r="C81" s="5" t="str">
        <x:v>Security requirements tests</x:v>
      </x:c>
      <x:c r="D81" s="5" t="str">
        <x:v>Include performance and scalability tests</x:v>
      </x:c>
      <x:c r="E81" s="5" t="str">
        <x:v>Mandatory</x:v>
      </x:c>
      <x:c r="F81" s="5" t="str">
        <x:v>In-scope product</x:v>
      </x:c>
      <x:c r="G81" s="5" t="str"/>
      <x:c r="H81" s="5" t="str">
        <x:v>9.2.1</x:v>
      </x:c>
      <x:c r="I81" s="5" t="str">
        <x:v>37</x:v>
      </x:c>
      <x:c r="J81" s="5" t="str">
        <x:v>35</x:v>
      </x:c>
      <x:c r="K81" s="5" t="str">
        <x:v>apps/ccli/tests/unit; apps/ccli/tests/integration; lab/conformance; lab/evidence; independent-test records required</x:v>
      </x:c>
      <x:c r="L81" s="5" t="str">
        <x:v>Independent QA/security test lead</x:v>
      </x:c>
      <x:c r="M81" s="5" t="str">
        <x:v>Not demonstrated</x:v>
      </x:c>
      <x:c r="N81" s="5" t="str">
        <x:v>Not demonstrated</x:v>
      </x:c>
      <x:c r="O81" s="5" t="str">
        <x:v>Versioned test plan, raw positive/negative results, tester independence and closed defects. Verify: Include performance and scalability tests.</x:v>
      </x:c>
      <x:c r="P81" s="10" t="str"/>
      <x:c r="Q81" s="10" t="str">
        <x:v>Open</x:v>
      </x:c>
      <x:c r="R81" s="10" t="str"/>
      <x:c r="S81" s="10" t="str"/>
      <x:c r="T81" s="10" t="str"/>
      <x:c r="U81" s="5" t="str">
        <x:f>IF(Q81="Closed",IF(AND(R81&lt;&gt;"",S81&lt;&gt;""),"Closed recorded","Missing evidence/reviewer"),IF(Q81="N/A approved",IF(AND(T81&lt;&gt;"",S81&lt;&gt;""),"N/A recorded","Missing applicability approval"),"Open"))</x:f>
        <x:v>Open</x:v>
      </x:c>
      <x:c r="V81" s="5" t="str">
        <x:v>Normativa/IEC 62443-4-1 2018.pdf</x:v>
      </x:c>
      <x:c r="W81" s="5" t="str"/>
    </x:row>
    <x:row r="82" ht="36" customHeight="1">
      <x:c r="A82" s="5" t="str">
        <x:v>SDL-SVV-1-04</x:v>
      </x:c>
      <x:c r="B82" s="5" t="str">
        <x:v>SVV-1</x:v>
      </x:c>
      <x:c r="C82" s="5" t="str">
        <x:v>Security requirements tests</x:v>
      </x:c>
      <x:c r="D82" s="5" t="str">
        <x:v>Include boundary, stress, malformed and unexpected input tests</x:v>
      </x:c>
      <x:c r="E82" s="5" t="str">
        <x:v>Mandatory</x:v>
      </x:c>
      <x:c r="F82" s="5" t="str">
        <x:v>In-scope product</x:v>
      </x:c>
      <x:c r="G82" s="5" t="str"/>
      <x:c r="H82" s="5" t="str">
        <x:v>9.2.1</x:v>
      </x:c>
      <x:c r="I82" s="5" t="str">
        <x:v>37</x:v>
      </x:c>
      <x:c r="J82" s="5" t="str">
        <x:v>35</x:v>
      </x:c>
      <x:c r="K82" s="5" t="str">
        <x:v>apps/ccli/tests/unit; apps/ccli/tests/integration; lab/conformance; lab/evidence; independent-test records required</x:v>
      </x:c>
      <x:c r="L82" s="5" t="str">
        <x:v>Independent QA/security test lead</x:v>
      </x:c>
      <x:c r="M82" s="5" t="str">
        <x:v>Not demonstrated</x:v>
      </x:c>
      <x:c r="N82" s="5" t="str">
        <x:v>Not demonstrated</x:v>
      </x:c>
      <x:c r="O82" s="5" t="str">
        <x:v>Versioned test plan, raw positive/negative results, tester independence and closed defects. Verify: Include boundary, stress, malformed and unexpected input tests.</x:v>
      </x:c>
      <x:c r="P82" s="10" t="str"/>
      <x:c r="Q82" s="10" t="str">
        <x:v>Open</x:v>
      </x:c>
      <x:c r="R82" s="10" t="str"/>
      <x:c r="S82" s="10" t="str"/>
      <x:c r="T82" s="10" t="str"/>
      <x:c r="U82" s="5" t="str">
        <x:f>IF(Q82="Closed",IF(AND(R82&lt;&gt;"",S82&lt;&gt;""),"Closed recorded","Missing evidence/reviewer"),IF(Q82="N/A approved",IF(AND(T82&lt;&gt;"",S82&lt;&gt;""),"N/A recorded","Missing applicability approval"),"Open"))</x:f>
        <x:v>Open</x:v>
      </x:c>
      <x:c r="V82" s="5" t="str">
        <x:v>Normativa/IEC 62443-4-1 2018.pdf</x:v>
      </x:c>
      <x:c r="W82" s="5" t="str"/>
    </x:row>
    <x:row r="83" ht="36" customHeight="1">
      <x:c r="A83" s="5" t="str">
        <x:v>SDL-SVV-2-01</x:v>
      </x:c>
      <x:c r="B83" s="5" t="str">
        <x:v>SVV-2</x:v>
      </x:c>
      <x:c r="C83" s="5" t="str">
        <x:v>Threat mitigation tests</x:v>
      </x:c>
      <x:c r="D83" s="5" t="str">
        <x:v>Create and execute tests proving each threat mitigation works</x:v>
      </x:c>
      <x:c r="E83" s="5" t="str">
        <x:v>Mandatory</x:v>
      </x:c>
      <x:c r="F83" s="5" t="str">
        <x:v>In-scope product</x:v>
      </x:c>
      <x:c r="G83" s="5" t="str"/>
      <x:c r="H83" s="5" t="str">
        <x:v>9.3.1</x:v>
      </x:c>
      <x:c r="I83" s="5" t="str">
        <x:v>37,94</x:v>
      </x:c>
      <x:c r="J83" s="5" t="str">
        <x:v>35,92</x:v>
      </x:c>
      <x:c r="K83" s="5" t="str">
        <x:v>apps/ccli/tests/unit; apps/ccli/tests/integration; lab/conformance; lab/evidence; independent-test records required</x:v>
      </x:c>
      <x:c r="L83" s="5" t="str">
        <x:v>Independent QA/security test lead</x:v>
      </x:c>
      <x:c r="M83" s="5" t="str">
        <x:v>Not demonstrated</x:v>
      </x:c>
      <x:c r="N83" s="5" t="str">
        <x:v>Not demonstrated</x:v>
      </x:c>
      <x:c r="O83" s="5" t="str">
        <x:v>Versioned test plan, raw positive/negative results, tester independence and closed defects. Verify: Create and execute tests proving each threat mitigation works.</x:v>
      </x:c>
      <x:c r="P83" s="10" t="str"/>
      <x:c r="Q83" s="10" t="str">
        <x:v>Open</x:v>
      </x:c>
      <x:c r="R83" s="10" t="str"/>
      <x:c r="S83" s="10" t="str"/>
      <x:c r="T83" s="10" t="str"/>
      <x:c r="U83" s="5" t="str">
        <x:f>IF(Q83="Closed",IF(AND(R83&lt;&gt;"",S83&lt;&gt;""),"Closed recorded","Missing evidence/reviewer"),IF(Q83="N/A approved",IF(AND(T83&lt;&gt;"",S83&lt;&gt;""),"N/A recorded","Missing applicability approval"),"Open"))</x:f>
        <x:v>Open</x:v>
      </x:c>
      <x:c r="V83" s="5" t="str">
        <x:v>Normativa/IEC 62443-4-1 2018.pdf</x:v>
      </x:c>
      <x:c r="W83" s="5" t="str"/>
    </x:row>
    <x:row r="84" ht="36" customHeight="1">
      <x:c r="A84" s="5" t="str">
        <x:v>SDL-SVV-2-02</x:v>
      </x:c>
      <x:c r="B84" s="5" t="str">
        <x:v>SVV-2</x:v>
      </x:c>
      <x:c r="C84" s="5" t="str">
        <x:v>Threat mitigation tests</x:v>
      </x:c>
      <x:c r="D84" s="5" t="str">
        <x:v>Create and execute attempts to defeat each mitigation</x:v>
      </x:c>
      <x:c r="E84" s="5" t="str">
        <x:v>Mandatory</x:v>
      </x:c>
      <x:c r="F84" s="5" t="str">
        <x:v>In-scope product</x:v>
      </x:c>
      <x:c r="G84" s="5" t="str"/>
      <x:c r="H84" s="5" t="str">
        <x:v>9.3.1</x:v>
      </x:c>
      <x:c r="I84" s="5" t="str">
        <x:v>37,94</x:v>
      </x:c>
      <x:c r="J84" s="5" t="str">
        <x:v>35,92</x:v>
      </x:c>
      <x:c r="K84" s="5" t="str">
        <x:v>apps/ccli/tests/unit; apps/ccli/tests/integration; lab/conformance; lab/evidence; independent-test records required</x:v>
      </x:c>
      <x:c r="L84" s="5" t="str">
        <x:v>Independent QA/security test lead</x:v>
      </x:c>
      <x:c r="M84" s="5" t="str">
        <x:v>Not demonstrated</x:v>
      </x:c>
      <x:c r="N84" s="5" t="str">
        <x:v>Not demonstrated</x:v>
      </x:c>
      <x:c r="O84" s="5" t="str">
        <x:v>Versioned test plan, raw positive/negative results, tester independence and closed defects. Verify: Create and execute attempts to defeat each mitigation.</x:v>
      </x:c>
      <x:c r="P84" s="10" t="str"/>
      <x:c r="Q84" s="10" t="str">
        <x:v>Open</x:v>
      </x:c>
      <x:c r="R84" s="10" t="str"/>
      <x:c r="S84" s="10" t="str"/>
      <x:c r="T84" s="10" t="str"/>
      <x:c r="U84" s="5" t="str">
        <x:f>IF(Q84="Closed",IF(AND(R84&lt;&gt;"",S84&lt;&gt;""),"Closed recorded","Missing evidence/reviewer"),IF(Q84="N/A approved",IF(AND(T84&lt;&gt;"",S84&lt;&gt;""),"N/A recorded","Missing applicability approval"),"Open"))</x:f>
        <x:v>Open</x:v>
      </x:c>
      <x:c r="V84" s="5" t="str">
        <x:v>Normativa/IEC 62443-4-1 2018.pdf</x:v>
      </x:c>
      <x:c r="W84" s="5" t="str"/>
    </x:row>
    <x:row r="85" ht="36" customHeight="1">
      <x:c r="A85" s="5" t="str">
        <x:v>SDL-SVV-3-01</x:v>
      </x:c>
      <x:c r="B85" s="5" t="str">
        <x:v>SVV-3</x:v>
      </x:c>
      <x:c r="C85" s="5" t="str">
        <x:v>Vulnerability tests</x:v>
      </x:c>
      <x:c r="D85" s="5" t="str">
        <x:v>Identify and characterize potential vulnerabilities using current recognized public vulnerability sources</x:v>
      </x:c>
      <x:c r="E85" s="5" t="str">
        <x:v>Mandatory</x:v>
      </x:c>
      <x:c r="F85" s="5" t="str">
        <x:v>In-scope product</x:v>
      </x:c>
      <x:c r="G85" s="5" t="str"/>
      <x:c r="H85" s="5" t="str">
        <x:v>9.4.1</x:v>
      </x:c>
      <x:c r="I85" s="5" t="str">
        <x:v>38,94-95</x:v>
      </x:c>
      <x:c r="J85" s="5" t="str">
        <x:v>36,92,93</x:v>
      </x:c>
      <x:c r="K85" s="5" t="str">
        <x:v>apps/ccli/tests/unit; apps/ccli/tests/integration; lab/conformance; lab/evidence; independent-test records required</x:v>
      </x:c>
      <x:c r="L85" s="5" t="str">
        <x:v>Independent QA/security test lead</x:v>
      </x:c>
      <x:c r="M85" s="5" t="str">
        <x:v>Not demonstrated</x:v>
      </x:c>
      <x:c r="N85" s="5" t="str">
        <x:v>Not demonstrated</x:v>
      </x:c>
      <x:c r="O85" s="5" t="str">
        <x:v>Versioned test plan, raw positive/negative results, tester independence and closed defects. Verify: Identify and characterize potential vulnerabilities using current recognized public vulnerability sources.</x:v>
      </x:c>
      <x:c r="P85" s="10" t="str"/>
      <x:c r="Q85" s="10" t="str">
        <x:v>Open</x:v>
      </x:c>
      <x:c r="R85" s="10" t="str"/>
      <x:c r="S85" s="10" t="str"/>
      <x:c r="T85" s="10" t="str"/>
      <x:c r="U85" s="5" t="str">
        <x:f>IF(Q85="Closed",IF(AND(R85&lt;&gt;"",S85&lt;&gt;""),"Closed recorded","Missing evidence/reviewer"),IF(Q85="N/A approved",IF(AND(T85&lt;&gt;"",S85&lt;&gt;""),"N/A recorded","Missing applicability approval"),"Open"))</x:f>
        <x:v>Open</x:v>
      </x:c>
      <x:c r="V85" s="5" t="str">
        <x:v>Normativa/IEC 62443-4-1 2018.pdf</x:v>
      </x:c>
      <x:c r="W85" s="5" t="str">
        <x:v>English PDF pages 38-39 are blank; recovered from the corresponding French requirements and Table 3 on PDF94-96, translated into English.</x:v>
      </x:c>
    </x:row>
    <x:row r="86" ht="47" customHeight="1">
      <x:c r="A86" s="5" t="str">
        <x:v>SDL-SVV-3-02</x:v>
      </x:c>
      <x:c r="B86" s="5" t="str">
        <x:v>SVV-3</x:v>
      </x:c>
      <x:c r="C86" s="5" t="str">
        <x:v>Vulnerability tests</x:v>
      </x:c>
      <x:c r="D86" s="5" t="str">
        <x:v>Run security abuse/malformed-input tests on all external interfaces/protocols where tools exist, including fuzz/flood/capacity testing</x:v>
      </x:c>
      <x:c r="E86" s="5" t="str">
        <x:v>Mandatory</x:v>
      </x:c>
      <x:c r="F86" s="5" t="str">
        <x:v>In-scope product</x:v>
      </x:c>
      <x:c r="G86" s="5" t="str"/>
      <x:c r="H86" s="5" t="str">
        <x:v>9.4.1</x:v>
      </x:c>
      <x:c r="I86" s="5" t="str">
        <x:v>38,94-95</x:v>
      </x:c>
      <x:c r="J86" s="5" t="str">
        <x:v>36,92,93</x:v>
      </x:c>
      <x:c r="K86" s="5" t="str">
        <x:v>apps/ccli/tests/unit; apps/ccli/tests/integration; lab/conformance; lab/evidence; independent-test records required</x:v>
      </x:c>
      <x:c r="L86" s="5" t="str">
        <x:v>Independent QA/security test lead</x:v>
      </x:c>
      <x:c r="M86" s="5" t="str">
        <x:v>Not demonstrated</x:v>
      </x:c>
      <x:c r="N86" s="5" t="str">
        <x:v>Not demonstrated</x:v>
      </x:c>
      <x:c r="O86" s="5" t="str">
        <x:v>Versioned test plan, raw positive/negative results, tester independence and closed defects. Verify: Run security abuse/malformed-input tests on all external interfaces/protocols where tools exist, including fuzz/flood/capacity testing.</x:v>
      </x:c>
      <x:c r="P86" s="10" t="str"/>
      <x:c r="Q86" s="10" t="str">
        <x:v>Open</x:v>
      </x:c>
      <x:c r="R86" s="10" t="str"/>
      <x:c r="S86" s="10" t="str"/>
      <x:c r="T86" s="10" t="str"/>
      <x:c r="U86" s="5" t="str">
        <x:f>IF(Q86="Closed",IF(AND(R86&lt;&gt;"",S86&lt;&gt;""),"Closed recorded","Missing evidence/reviewer"),IF(Q86="N/A approved",IF(AND(T86&lt;&gt;"",S86&lt;&gt;""),"N/A recorded","Missing applicability approval"),"Open"))</x:f>
        <x:v>Open</x:v>
      </x:c>
      <x:c r="V86" s="5" t="str">
        <x:v>Normativa/IEC 62443-4-1 2018.pdf</x:v>
      </x:c>
      <x:c r="W86" s="5" t="str">
        <x:v>English PDF pages 38-39 are blank; recovered from the corresponding French requirements and Table 3 on PDF94-96, translated into English.</x:v>
      </x:c>
    </x:row>
    <x:row r="87" ht="36" customHeight="1">
      <x:c r="A87" s="5" t="str">
        <x:v>SDL-SVV-3-03</x:v>
      </x:c>
      <x:c r="B87" s="5" t="str">
        <x:v>SVV-3</x:v>
      </x:c>
      <x:c r="C87" s="5" t="str">
        <x:v>Vulnerability tests</x:v>
      </x:c>
      <x:c r="D87" s="5" t="str">
        <x:v>Analyze attack surface, weak ACLs, exposed ports and privileged services</x:v>
      </x:c>
      <x:c r="E87" s="5" t="str">
        <x:v>Mandatory</x:v>
      </x:c>
      <x:c r="F87" s="5" t="str">
        <x:v>In-scope product</x:v>
      </x:c>
      <x:c r="G87" s="5" t="str"/>
      <x:c r="H87" s="5" t="str">
        <x:v>9.4.1</x:v>
      </x:c>
      <x:c r="I87" s="5" t="str">
        <x:v>38,94-95</x:v>
      </x:c>
      <x:c r="J87" s="5" t="str">
        <x:v>36,92,93</x:v>
      </x:c>
      <x:c r="K87" s="5" t="str">
        <x:v>apps/ccli/tests/unit; apps/ccli/tests/integration; lab/conformance; lab/evidence; independent-test records required</x:v>
      </x:c>
      <x:c r="L87" s="5" t="str">
        <x:v>Independent QA/security test lead</x:v>
      </x:c>
      <x:c r="M87" s="5" t="str">
        <x:v>Not demonstrated</x:v>
      </x:c>
      <x:c r="N87" s="5" t="str">
        <x:v>Not demonstrated</x:v>
      </x:c>
      <x:c r="O87" s="5" t="str">
        <x:v>Versioned test plan, raw positive/negative results, tester independence and closed defects. Verify: Analyze attack surface, weak ACLs, exposed ports and privileged services.</x:v>
      </x:c>
      <x:c r="P87" s="10" t="str"/>
      <x:c r="Q87" s="10" t="str">
        <x:v>Open</x:v>
      </x:c>
      <x:c r="R87" s="10" t="str"/>
      <x:c r="S87" s="10" t="str"/>
      <x:c r="T87" s="10" t="str"/>
      <x:c r="U87" s="5" t="str">
        <x:f>IF(Q87="Closed",IF(AND(R87&lt;&gt;"",S87&lt;&gt;""),"Closed recorded","Missing evidence/reviewer"),IF(Q87="N/A approved",IF(AND(T87&lt;&gt;"",S87&lt;&gt;""),"N/A recorded","Missing applicability approval"),"Open"))</x:f>
        <x:v>Open</x:v>
      </x:c>
      <x:c r="V87" s="5" t="str">
        <x:v>Normativa/IEC 62443-4-1 2018.pdf</x:v>
      </x:c>
      <x:c r="W87" s="5" t="str">
        <x:v>English PDF pages 38-39 are blank; recovered from the corresponding French requirements and Table 3 on PDF94-96, translated into English.</x:v>
      </x:c>
    </x:row>
    <x:row r="88" ht="36" customHeight="1">
      <x:c r="A88" s="5" t="str">
        <x:v>SDL-SVV-3-04</x:v>
      </x:c>
      <x:c r="B88" s="5" t="str">
        <x:v>SVV-3</x:v>
      </x:c>
      <x:c r="C88" s="5" t="str">
        <x:v>Vulnerability tests</x:v>
      </x:c>
      <x:c r="D88" s="5" t="str">
        <x:v>Run black-box known-vulnerability scans for hardware/host/software components</x:v>
      </x:c>
      <x:c r="E88" s="5" t="str">
        <x:v>Mandatory</x:v>
      </x:c>
      <x:c r="F88" s="5" t="str">
        <x:v>In-scope product</x:v>
      </x:c>
      <x:c r="G88" s="5" t="str"/>
      <x:c r="H88" s="5" t="str">
        <x:v>9.4.1</x:v>
      </x:c>
      <x:c r="I88" s="5" t="str">
        <x:v>38,94-95</x:v>
      </x:c>
      <x:c r="J88" s="5" t="str">
        <x:v>36,92,93</x:v>
      </x:c>
      <x:c r="K88" s="5" t="str">
        <x:v>apps/ccli/tests/unit; apps/ccli/tests/integration; lab/conformance; lab/evidence; independent-test records required</x:v>
      </x:c>
      <x:c r="L88" s="5" t="str">
        <x:v>Independent QA/security test lead</x:v>
      </x:c>
      <x:c r="M88" s="5" t="str">
        <x:v>Not demonstrated</x:v>
      </x:c>
      <x:c r="N88" s="5" t="str">
        <x:v>Not demonstrated</x:v>
      </x:c>
      <x:c r="O88" s="5" t="str">
        <x:v>Versioned test plan, raw positive/negative results, tester independence and closed defects. Verify: Run black-box known-vulnerability scans for hardware/host/software components.</x:v>
      </x:c>
      <x:c r="P88" s="10" t="str"/>
      <x:c r="Q88" s="10" t="str">
        <x:v>Open</x:v>
      </x:c>
      <x:c r="R88" s="10" t="str"/>
      <x:c r="S88" s="10" t="str"/>
      <x:c r="T88" s="10" t="str"/>
      <x:c r="U88" s="5" t="str">
        <x:f>IF(Q88="Closed",IF(AND(R88&lt;&gt;"",S88&lt;&gt;""),"Closed recorded","Missing evidence/reviewer"),IF(Q88="N/A approved",IF(AND(T88&lt;&gt;"",S88&lt;&gt;""),"N/A recorded","Missing applicability approval"),"Open"))</x:f>
        <x:v>Open</x:v>
      </x:c>
      <x:c r="V88" s="5" t="str">
        <x:v>Normativa/IEC 62443-4-1 2018.pdf</x:v>
      </x:c>
      <x:c r="W88" s="5" t="str">
        <x:v>English PDF pages 38-39 are blank; recovered from the corresponding French requirements and Table 3 on PDF94-96, translated into English.</x:v>
      </x:c>
    </x:row>
    <x:row r="89" ht="36" customHeight="1">
      <x:c r="A89" s="5" t="str">
        <x:v>SDL-SVV-3-05</x:v>
      </x:c>
      <x:c r="B89" s="5" t="str">
        <x:v>SVV-3</x:v>
      </x:c>
      <x:c r="C89" s="5" t="str">
        <x:v>Vulnerability tests</x:v>
      </x:c>
      <x:c r="D89" s="5" t="str">
        <x:v>Perform software/composition analysis on all delivered binary executables including embedded firmware</x:v>
      </x:c>
      <x:c r="E89" s="5" t="str">
        <x:v>Mandatory</x:v>
      </x:c>
      <x:c r="F89" s="5" t="str">
        <x:v>In-scope product</x:v>
      </x:c>
      <x:c r="G89" s="5" t="str"/>
      <x:c r="H89" s="5" t="str">
        <x:v>9.4.1</x:v>
      </x:c>
      <x:c r="I89" s="5" t="str">
        <x:v>38,94-95</x:v>
      </x:c>
      <x:c r="J89" s="5" t="str">
        <x:v>36,92,93</x:v>
      </x:c>
      <x:c r="K89" s="5" t="str">
        <x:v>apps/ccli/tests/unit; apps/ccli/tests/integration; lab/conformance; lab/evidence; independent-test records required</x:v>
      </x:c>
      <x:c r="L89" s="5" t="str">
        <x:v>Independent QA/security test lead</x:v>
      </x:c>
      <x:c r="M89" s="5" t="str">
        <x:v>Not demonstrated</x:v>
      </x:c>
      <x:c r="N89" s="5" t="str">
        <x:v>Not demonstrated</x:v>
      </x:c>
      <x:c r="O89" s="5" t="str">
        <x:v>Versioned test plan, raw positive/negative results, tester independence and closed defects. Verify: Perform software/composition analysis on all delivered binary executables including embedded firmware.</x:v>
      </x:c>
      <x:c r="P89" s="10" t="str"/>
      <x:c r="Q89" s="10" t="str">
        <x:v>Open</x:v>
      </x:c>
      <x:c r="R89" s="10" t="str"/>
      <x:c r="S89" s="10" t="str"/>
      <x:c r="T89" s="10" t="str"/>
      <x:c r="U89" s="5" t="str">
        <x:f>IF(Q89="Closed",IF(AND(R89&lt;&gt;"",S89&lt;&gt;""),"Closed recorded","Missing evidence/reviewer"),IF(Q89="N/A approved",IF(AND(T89&lt;&gt;"",S89&lt;&gt;""),"N/A recorded","Missing applicability approval"),"Open"))</x:f>
        <x:v>Open</x:v>
      </x:c>
      <x:c r="V89" s="5" t="str">
        <x:v>Normativa/IEC 62443-4-1 2018.pdf</x:v>
      </x:c>
      <x:c r="W89" s="5" t="str">
        <x:v>English PDF pages 38-39 are blank; recovered from the corresponding French requirements and Table 3 on PDF94-96, translated into English.</x:v>
      </x:c>
    </x:row>
    <x:row r="90" ht="47" customHeight="1">
      <x:c r="A90" s="5" t="str">
        <x:v>SDL-SVV-3-06</x:v>
      </x:c>
      <x:c r="B90" s="5" t="str">
        <x:v>SVV-3</x:v>
      </x:c>
      <x:c r="C90" s="5" t="str">
        <x:v>Vulnerability tests</x:v>
      </x:c>
      <x:c r="D90" s="5" t="str">
        <x:v>Detect known component vulnerabilities, vulnerable library links, security-rule violations and vulnerable compiler settings</x:v>
      </x:c>
      <x:c r="E90" s="5" t="str">
        <x:v>Mandatory</x:v>
      </x:c>
      <x:c r="F90" s="5" t="str">
        <x:v>In-scope product</x:v>
      </x:c>
      <x:c r="G90" s="5" t="str"/>
      <x:c r="H90" s="5" t="str">
        <x:v>9.4.1</x:v>
      </x:c>
      <x:c r="I90" s="5" t="str">
        <x:v>38,94-95</x:v>
      </x:c>
      <x:c r="J90" s="5" t="str">
        <x:v>36,92,93</x:v>
      </x:c>
      <x:c r="K90" s="5" t="str">
        <x:v>apps/ccli/tests/unit; apps/ccli/tests/integration; lab/conformance; lab/evidence; independent-test records required</x:v>
      </x:c>
      <x:c r="L90" s="5" t="str">
        <x:v>Independent QA/security test lead</x:v>
      </x:c>
      <x:c r="M90" s="5" t="str">
        <x:v>Not demonstrated</x:v>
      </x:c>
      <x:c r="N90" s="5" t="str">
        <x:v>Not demonstrated</x:v>
      </x:c>
      <x:c r="O90" s="5" t="str">
        <x:v>Versioned test plan, raw positive/negative results, tester independence and closed defects. Verify: Detect known component vulnerabilities, vulnerable library links, security-rule violations and vulnerable compiler settings.</x:v>
      </x:c>
      <x:c r="P90" s="10" t="str"/>
      <x:c r="Q90" s="10" t="str">
        <x:v>Open</x:v>
      </x:c>
      <x:c r="R90" s="10" t="str"/>
      <x:c r="S90" s="10" t="str"/>
      <x:c r="T90" s="10" t="str"/>
      <x:c r="U90" s="5" t="str">
        <x:f>IF(Q90="Closed",IF(AND(R90&lt;&gt;"",S90&lt;&gt;""),"Closed recorded","Missing evidence/reviewer"),IF(Q90="N/A approved",IF(AND(T90&lt;&gt;"",S90&lt;&gt;""),"N/A recorded","Missing applicability approval"),"Open"))</x:f>
        <x:v>Open</x:v>
      </x:c>
      <x:c r="V90" s="5" t="str">
        <x:v>Normativa/IEC 62443-4-1 2018.pdf</x:v>
      </x:c>
      <x:c r="W90" s="5" t="str">
        <x:v>English PDF pages 38-39 are blank; recovered from the corresponding French requirements and Table 3 on PDF94-96, translated into English.</x:v>
      </x:c>
    </x:row>
    <x:row r="91" ht="47" customHeight="1">
      <x:c r="A91" s="5" t="str">
        <x:v>SDL-SVV-3-07</x:v>
      </x:c>
      <x:c r="B91" s="5" t="str">
        <x:v>SVV-3</x:v>
      </x:c>
      <x:c r="C91" s="5" t="str">
        <x:v>Vulnerability tests</x:v>
      </x:c>
      <x:c r="D91" s="5" t="str">
        <x:v>Perform dynamic runtime resource tests where tools exist, including timing-related DoS, memory leaks and shared-memory access</x:v>
      </x:c>
      <x:c r="E91" s="5" t="str">
        <x:v>Mandatory</x:v>
      </x:c>
      <x:c r="F91" s="5" t="str">
        <x:v>In-scope product</x:v>
      </x:c>
      <x:c r="G91" s="5" t="str"/>
      <x:c r="H91" s="5" t="str">
        <x:v>9.4.1</x:v>
      </x:c>
      <x:c r="I91" s="5" t="str">
        <x:v>38,94-95</x:v>
      </x:c>
      <x:c r="J91" s="5" t="str">
        <x:v>36,92,93</x:v>
      </x:c>
      <x:c r="K91" s="5" t="str">
        <x:v>apps/ccli/tests/unit; apps/ccli/tests/integration; lab/conformance; lab/evidence; independent-test records required</x:v>
      </x:c>
      <x:c r="L91" s="5" t="str">
        <x:v>Independent QA/security test lead</x:v>
      </x:c>
      <x:c r="M91" s="5" t="str">
        <x:v>Not demonstrated</x:v>
      </x:c>
      <x:c r="N91" s="5" t="str">
        <x:v>Not demonstrated</x:v>
      </x:c>
      <x:c r="O91" s="5" t="str">
        <x:v>Versioned test plan, raw positive/negative results, tester independence and closed defects. Verify: Perform dynamic runtime resource tests where tools exist, including timing-related DoS, memory leaks and shared-memory access.</x:v>
      </x:c>
      <x:c r="P91" s="10" t="str"/>
      <x:c r="Q91" s="10" t="str">
        <x:v>Open</x:v>
      </x:c>
      <x:c r="R91" s="10" t="str"/>
      <x:c r="S91" s="10" t="str"/>
      <x:c r="T91" s="10" t="str"/>
      <x:c r="U91" s="5" t="str">
        <x:f>IF(Q91="Closed",IF(AND(R91&lt;&gt;"",S91&lt;&gt;""),"Closed recorded","Missing evidence/reviewer"),IF(Q91="N/A approved",IF(AND(T91&lt;&gt;"",S91&lt;&gt;""),"N/A recorded","Missing applicability approval"),"Open"))</x:f>
        <x:v>Open</x:v>
      </x:c>
      <x:c r="V91" s="5" t="str">
        <x:v>Normativa/IEC 62443-4-1 2018.pdf</x:v>
      </x:c>
      <x:c r="W91" s="5" t="str">
        <x:v>English PDF pages 38-39 are blank; recovered from the corresponding French requirements and Table 3 on PDF94-96, translated into English.</x:v>
      </x:c>
    </x:row>
    <x:row r="92" ht="36" customHeight="1">
      <x:c r="A92" s="5" t="str">
        <x:v>SDL-SVV-4-01</x:v>
      </x:c>
      <x:c r="B92" s="5" t="str">
        <x:v>SVV-4</x:v>
      </x:c>
      <x:c r="C92" s="5" t="str">
        <x:v>Penetration testing</x:v>
      </x:c>
      <x:c r="D92" s="5" t="str">
        <x:v>Identify and characterize security issues by attempting to exploit product vulnerabilities</x:v>
      </x:c>
      <x:c r="E92" s="5" t="str">
        <x:v>Mandatory</x:v>
      </x:c>
      <x:c r="F92" s="5" t="str">
        <x:v>In-scope product</x:v>
      </x:c>
      <x:c r="G92" s="5" t="str"/>
      <x:c r="H92" s="5" t="str">
        <x:v>9.5.1</x:v>
      </x:c>
      <x:c r="I92" s="5" t="str">
        <x:v>39,95</x:v>
      </x:c>
      <x:c r="J92" s="5" t="str">
        <x:v>37,93</x:v>
      </x:c>
      <x:c r="K92" s="5" t="str">
        <x:v>apps/ccli/tests/unit; apps/ccli/tests/integration; lab/conformance; lab/evidence; independent-test records required</x:v>
      </x:c>
      <x:c r="L92" s="5" t="str">
        <x:v>Independent QA/security test lead</x:v>
      </x:c>
      <x:c r="M92" s="5" t="str">
        <x:v>Not demonstrated</x:v>
      </x:c>
      <x:c r="N92" s="5" t="str">
        <x:v>Not demonstrated</x:v>
      </x:c>
      <x:c r="O92" s="5" t="str">
        <x:v>Versioned test plan, raw positive/negative results, tester independence and closed defects. Verify: Identify and characterize security issues by attempting to exploit product vulnerabilities.</x:v>
      </x:c>
      <x:c r="P92" s="10" t="str"/>
      <x:c r="Q92" s="10" t="str">
        <x:v>Open</x:v>
      </x:c>
      <x:c r="R92" s="10" t="str"/>
      <x:c r="S92" s="10" t="str"/>
      <x:c r="T92" s="10" t="str"/>
      <x:c r="U92" s="5" t="str">
        <x:f>IF(Q92="Closed",IF(AND(R92&lt;&gt;"",S92&lt;&gt;""),"Closed recorded","Missing evidence/reviewer"),IF(Q92="N/A approved",IF(AND(T92&lt;&gt;"",S92&lt;&gt;""),"N/A recorded","Missing applicability approval"),"Open"))</x:f>
        <x:v>Open</x:v>
      </x:c>
      <x:c r="V92" s="5" t="str">
        <x:v>Normativa/IEC 62443-4-1 2018.pdf</x:v>
      </x:c>
      <x:c r="W92" s="5" t="str">
        <x:v>English PDF pages 38-39 are blank; recovered from the corresponding French requirements and Table 3 on PDF94-96, translated into English.</x:v>
      </x:c>
    </x:row>
    <x:row r="93" ht="36" customHeight="1">
      <x:c r="A93" s="5" t="str">
        <x:v>SDL-SVV-5-01</x:v>
      </x:c>
      <x:c r="B93" s="5" t="str">
        <x:v>SVV-5</x:v>
      </x:c>
      <x:c r="C93" s="5" t="str">
        <x:v>Tester independence</x:v>
      </x:c>
      <x:c r="D93" s="5" t="str">
        <x:v>Use an independent department for security-requirements and threat-mitigation tests</x:v>
      </x:c>
      <x:c r="E93" s="5" t="str">
        <x:v>Mandatory</x:v>
      </x:c>
      <x:c r="F93" s="5" t="str">
        <x:v>In-scope product</x:v>
      </x:c>
      <x:c r="G93" s="5" t="str"/>
      <x:c r="H93" s="5" t="str">
        <x:v>9.6.1</x:v>
      </x:c>
      <x:c r="I93" s="5" t="str">
        <x:v>39,95-96</x:v>
      </x:c>
      <x:c r="J93" s="5" t="str">
        <x:v>37,93,94</x:v>
      </x:c>
      <x:c r="K93" s="5" t="str">
        <x:v>apps/ccli/tests/unit; apps/ccli/tests/integration; lab/conformance; lab/evidence; independent-test records required</x:v>
      </x:c>
      <x:c r="L93" s="5" t="str">
        <x:v>Independent QA/security test lead</x:v>
      </x:c>
      <x:c r="M93" s="5" t="str">
        <x:v>Not demonstrated</x:v>
      </x:c>
      <x:c r="N93" s="5" t="str">
        <x:v>Not demonstrated</x:v>
      </x:c>
      <x:c r="O93" s="5" t="str">
        <x:v>Versioned test plan, raw positive/negative results, tester independence and closed defects. Verify: Use an independent department for security-requirements and threat-mitigation tests.</x:v>
      </x:c>
      <x:c r="P93" s="10" t="str"/>
      <x:c r="Q93" s="10" t="str">
        <x:v>Open</x:v>
      </x:c>
      <x:c r="R93" s="10" t="str"/>
      <x:c r="S93" s="10" t="str"/>
      <x:c r="T93" s="10" t="str"/>
      <x:c r="U93" s="5" t="str">
        <x:f>IF(Q93="Closed",IF(AND(R93&lt;&gt;"",S93&lt;&gt;""),"Closed recorded","Missing evidence/reviewer"),IF(Q93="N/A approved",IF(AND(T93&lt;&gt;"",S93&lt;&gt;""),"N/A recorded","Missing applicability approval"),"Open"))</x:f>
        <x:v>Open</x:v>
      </x:c>
      <x:c r="V93" s="5" t="str">
        <x:v>Normativa/IEC 62443-4-1 2018.pdf</x:v>
      </x:c>
      <x:c r="W93" s="5" t="str">
        <x:v>English PDF pages 38-39 are blank; recovered from the corresponding French requirements and Table 3 on PDF94-96, translated into English.</x:v>
      </x:c>
    </x:row>
    <x:row r="94" ht="36" customHeight="1">
      <x:c r="A94" s="5" t="str">
        <x:v>SDL-SVV-5-02</x:v>
      </x:c>
      <x:c r="B94" s="5" t="str">
        <x:v>SVV-5</x:v>
      </x:c>
      <x:c r="C94" s="5" t="str">
        <x:v>Tester independence</x:v>
      </x:c>
      <x:c r="D94" s="5" t="str">
        <x:v>Use an independent person for abuse-case, attack-surface and known-vulnerability analysis</x:v>
      </x:c>
      <x:c r="E94" s="5" t="str">
        <x:v>Mandatory</x:v>
      </x:c>
      <x:c r="F94" s="5" t="str">
        <x:v>In-scope product</x:v>
      </x:c>
      <x:c r="G94" s="5" t="str"/>
      <x:c r="H94" s="5" t="str">
        <x:v>9.6.1</x:v>
      </x:c>
      <x:c r="I94" s="5" t="str">
        <x:v>39,95-96</x:v>
      </x:c>
      <x:c r="J94" s="5" t="str">
        <x:v>37,93,94</x:v>
      </x:c>
      <x:c r="K94" s="5" t="str">
        <x:v>apps/ccli/tests/unit; apps/ccli/tests/integration; lab/conformance; lab/evidence; independent-test records required</x:v>
      </x:c>
      <x:c r="L94" s="5" t="str">
        <x:v>Independent QA/security test lead</x:v>
      </x:c>
      <x:c r="M94" s="5" t="str">
        <x:v>Not demonstrated</x:v>
      </x:c>
      <x:c r="N94" s="5" t="str">
        <x:v>Not demonstrated</x:v>
      </x:c>
      <x:c r="O94" s="5" t="str">
        <x:v>Versioned test plan, raw positive/negative results, tester independence and closed defects. Verify: Use an independent person for abuse-case, attack-surface and known-vulnerability analysis.</x:v>
      </x:c>
      <x:c r="P94" s="10" t="str"/>
      <x:c r="Q94" s="10" t="str">
        <x:v>Open</x:v>
      </x:c>
      <x:c r="R94" s="10" t="str"/>
      <x:c r="S94" s="10" t="str"/>
      <x:c r="T94" s="10" t="str"/>
      <x:c r="U94" s="5" t="str">
        <x:f>IF(Q94="Closed",IF(AND(R94&lt;&gt;"",S94&lt;&gt;""),"Closed recorded","Missing evidence/reviewer"),IF(Q94="N/A approved",IF(AND(T94&lt;&gt;"",S94&lt;&gt;""),"N/A recorded","Missing applicability approval"),"Open"))</x:f>
        <x:v>Open</x:v>
      </x:c>
      <x:c r="V94" s="5" t="str">
        <x:v>Normativa/IEC 62443-4-1 2018.pdf</x:v>
      </x:c>
      <x:c r="W94" s="5" t="str">
        <x:v>English PDF pages 38-39 are blank; recovered from the corresponding French requirements and Table 3 on PDF94-96, translated into English.</x:v>
      </x:c>
    </x:row>
    <x:row r="95" ht="36" customHeight="1">
      <x:c r="A95" s="5" t="str">
        <x:v>SDL-SVV-5-03</x:v>
      </x:c>
      <x:c r="B95" s="5" t="str">
        <x:v>SVV-5</x:v>
      </x:c>
      <x:c r="C95" s="5" t="str">
        <x:v>Tester independence</x:v>
      </x:c>
      <x:c r="D95" s="5" t="str">
        <x:v>Use an independent department or organization for penetration tests</x:v>
      </x:c>
      <x:c r="E95" s="5" t="str">
        <x:v>Mandatory</x:v>
      </x:c>
      <x:c r="F95" s="5" t="str">
        <x:v>In-scope product</x:v>
      </x:c>
      <x:c r="G95" s="5" t="str"/>
      <x:c r="H95" s="5" t="str">
        <x:v>9.6.1</x:v>
      </x:c>
      <x:c r="I95" s="5" t="str">
        <x:v>39,95-96</x:v>
      </x:c>
      <x:c r="J95" s="5" t="str">
        <x:v>37,93,94</x:v>
      </x:c>
      <x:c r="K95" s="5" t="str">
        <x:v>apps/ccli/tests/unit; apps/ccli/tests/integration; lab/conformance; lab/evidence; independent-test records required</x:v>
      </x:c>
      <x:c r="L95" s="5" t="str">
        <x:v>Independent QA/security test lead</x:v>
      </x:c>
      <x:c r="M95" s="5" t="str">
        <x:v>Not demonstrated</x:v>
      </x:c>
      <x:c r="N95" s="5" t="str">
        <x:v>Not demonstrated</x:v>
      </x:c>
      <x:c r="O95" s="5" t="str">
        <x:v>Versioned test plan, raw positive/negative results, tester independence and closed defects. Verify: Use an independent department or organization for penetration tests.</x:v>
      </x:c>
      <x:c r="P95" s="10" t="str"/>
      <x:c r="Q95" s="10" t="str">
        <x:v>Open</x:v>
      </x:c>
      <x:c r="R95" s="10" t="str"/>
      <x:c r="S95" s="10" t="str"/>
      <x:c r="T95" s="10" t="str"/>
      <x:c r="U95" s="5" t="str">
        <x:f>IF(Q95="Closed",IF(AND(R95&lt;&gt;"",S95&lt;&gt;""),"Closed recorded","Missing evidence/reviewer"),IF(Q95="N/A approved",IF(AND(T95&lt;&gt;"",S95&lt;&gt;""),"N/A recorded","Missing applicability approval"),"Open"))</x:f>
        <x:v>Open</x:v>
      </x:c>
      <x:c r="V95" s="5" t="str">
        <x:v>Normativa/IEC 62443-4-1 2018.pdf</x:v>
      </x:c>
      <x:c r="W95" s="5" t="str">
        <x:v>English PDF pages 38-39 are blank; recovered from the corresponding French requirements and Table 3 on PDF94-96, translated into English.</x:v>
      </x:c>
    </x:row>
    <x:row r="96" ht="36" customHeight="1">
      <x:c r="A96" s="5" t="str">
        <x:v>SDL-SVV-5-04</x:v>
      </x:c>
      <x:c r="B96" s="5" t="str">
        <x:v>SVV-5</x:v>
      </x:c>
      <x:c r="C96" s="5" t="str">
        <x:v>Tester independence</x:v>
      </x:c>
      <x:c r="D96" s="5" t="str">
        <x:v>Static code analysis and software composition analysis require no tester independence</x:v>
      </x:c>
      <x:c r="E96" s="5" t="str">
        <x:v>Mandatory</x:v>
      </x:c>
      <x:c r="F96" s="5" t="str">
        <x:v>In-scope product</x:v>
      </x:c>
      <x:c r="G96" s="5" t="str"/>
      <x:c r="H96" s="5" t="str">
        <x:v>9.6.1</x:v>
      </x:c>
      <x:c r="I96" s="5" t="str">
        <x:v>39,95-96</x:v>
      </x:c>
      <x:c r="J96" s="5" t="str">
        <x:v>37,93,94</x:v>
      </x:c>
      <x:c r="K96" s="5" t="str">
        <x:v>apps/ccli/tests/unit; apps/ccli/tests/integration; lab/conformance; lab/evidence; independent-test records required</x:v>
      </x:c>
      <x:c r="L96" s="5" t="str">
        <x:v>Independent QA/security test lead</x:v>
      </x:c>
      <x:c r="M96" s="5" t="str">
        <x:v>Not demonstrated</x:v>
      </x:c>
      <x:c r="N96" s="5" t="str">
        <x:v>Not demonstrated</x:v>
      </x:c>
      <x:c r="O96" s="5" t="str">
        <x:v>Versioned test plan, raw positive/negative results, tester independence and closed defects. Verify: Static code analysis and software composition analysis require no tester independence.</x:v>
      </x:c>
      <x:c r="P96" s="10" t="str"/>
      <x:c r="Q96" s="10" t="str">
        <x:v>Open</x:v>
      </x:c>
      <x:c r="R96" s="10" t="str"/>
      <x:c r="S96" s="10" t="str"/>
      <x:c r="T96" s="10" t="str"/>
      <x:c r="U96" s="5" t="str">
        <x:f>IF(Q96="Closed",IF(AND(R96&lt;&gt;"",S96&lt;&gt;""),"Closed recorded","Missing evidence/reviewer"),IF(Q96="N/A approved",IF(AND(T96&lt;&gt;"",S96&lt;&gt;""),"N/A recorded","Missing applicability approval"),"Open"))</x:f>
        <x:v>Open</x:v>
      </x:c>
      <x:c r="V96" s="5" t="str">
        <x:v>Normativa/IEC 62443-4-1 2018.pdf</x:v>
      </x:c>
      <x:c r="W96" s="5" t="str">
        <x:v>English PDF pages 38-39 are blank; recovered from the corresponding French requirements and Table 3 on PDF94-96, translated into English.</x:v>
      </x:c>
    </x:row>
    <x:row r="97" ht="36" customHeight="1">
      <x:c r="A97" s="5" t="str">
        <x:v>SDL-SVV-5-05</x:v>
      </x:c>
      <x:c r="B97" s="5" t="str">
        <x:v>SVV-5</x:v>
      </x:c>
      <x:c r="C97" s="5" t="str">
        <x:v>Tester independence</x:v>
      </x:c>
      <x:c r="D97" s="5" t="str">
        <x:v>Retain independence evidence against Table 3</x:v>
      </x:c>
      <x:c r="E97" s="5" t="str">
        <x:v>Mandatory</x:v>
      </x:c>
      <x:c r="F97" s="5" t="str">
        <x:v>In-scope product</x:v>
      </x:c>
      <x:c r="G97" s="5" t="str"/>
      <x:c r="H97" s="5" t="str">
        <x:v>9.6.1</x:v>
      </x:c>
      <x:c r="I97" s="5" t="str">
        <x:v>39,95-96</x:v>
      </x:c>
      <x:c r="J97" s="5" t="str">
        <x:v>37,93,94</x:v>
      </x:c>
      <x:c r="K97" s="5" t="str">
        <x:v>apps/ccli/tests/unit; apps/ccli/tests/integration; lab/conformance; lab/evidence; independent-test records required</x:v>
      </x:c>
      <x:c r="L97" s="5" t="str">
        <x:v>Independent QA/security test lead</x:v>
      </x:c>
      <x:c r="M97" s="5" t="str">
        <x:v>Not demonstrated</x:v>
      </x:c>
      <x:c r="N97" s="5" t="str">
        <x:v>Not demonstrated</x:v>
      </x:c>
      <x:c r="O97" s="5" t="str">
        <x:v>Versioned test plan, raw positive/negative results, tester independence and closed defects. Verify: Retain independence evidence against Table 3.</x:v>
      </x:c>
      <x:c r="P97" s="10" t="str"/>
      <x:c r="Q97" s="10" t="str">
        <x:v>Open</x:v>
      </x:c>
      <x:c r="R97" s="10" t="str"/>
      <x:c r="S97" s="10" t="str"/>
      <x:c r="T97" s="10" t="str"/>
      <x:c r="U97" s="5" t="str">
        <x:f>IF(Q97="Closed",IF(AND(R97&lt;&gt;"",S97&lt;&gt;""),"Closed recorded","Missing evidence/reviewer"),IF(Q97="N/A approved",IF(AND(T97&lt;&gt;"",S97&lt;&gt;""),"N/A recorded","Missing applicability approval"),"Open"))</x:f>
        <x:v>Open</x:v>
      </x:c>
      <x:c r="V97" s="5" t="str">
        <x:v>Normativa/IEC 62443-4-1 2018.pdf</x:v>
      </x:c>
      <x:c r="W97" s="5" t="str">
        <x:v>English PDF pages 38-39 are blank; recovered from the corresponding French requirements and Table 3 on PDF94-96, translated into English.</x:v>
      </x:c>
    </x:row>
    <x:row r="98" ht="47" customHeight="1">
      <x:c r="A98" s="5" t="str">
        <x:v>SDL-DM-1-01</x:v>
      </x:c>
      <x:c r="B98" s="5" t="str">
        <x:v>DM-1</x:v>
      </x:c>
      <x:c r="C98" s="5" t="str">
        <x:v>Issue intake</x:v>
      </x:c>
      <x:c r="D98" s="5" t="str">
        <x:v>Receive and track to closure issues from security testers, suppliers, developers/testers and users including integrators, owners and maintainers</x:v>
      </x:c>
      <x:c r="E98" s="5" t="str">
        <x:v>Mandatory</x:v>
      </x:c>
      <x:c r="F98" s="5" t="str">
        <x:v>In-scope product</x:v>
      </x:c>
      <x:c r="G98" s="5" t="str"/>
      <x:c r="H98" s="5" t="str">
        <x:v>10.2.1</x:v>
      </x:c>
      <x:c r="I98" s="5" t="str">
        <x:v>40</x:v>
      </x:c>
      <x:c r="J98" s="5" t="str">
        <x:v>38</x:v>
      </x:c>
      <x:c r="K98" s="5" t="str">
        <x:v>Controlled SDL processes, roles, training, supplier risk, issue and release records; see output/IEC_security_review_2026-10-26.md</x:v>
      </x:c>
      <x:c r="L98" s="5" t="str">
        <x:v>HiTEKS product/security lead</x:v>
      </x:c>
      <x:c r="M98" s="5" t="str">
        <x:v>Not demonstrated</x:v>
      </x:c>
      <x:c r="N98" s="5" t="str">
        <x:v>Not demonstrated</x:v>
      </x:c>
      <x:c r="O98" s="5" t="str">
        <x:v>Approved procedure and executed release records, with named reviewers and disposition of findings. Verify: Receive and track to closure issues from security testers, suppliers, developers/testers and users including integrators, owners and maintainers.</x:v>
      </x:c>
      <x:c r="P98" s="10" t="str"/>
      <x:c r="Q98" s="10" t="str">
        <x:v>Open</x:v>
      </x:c>
      <x:c r="R98" s="10" t="str"/>
      <x:c r="S98" s="10" t="str"/>
      <x:c r="T98" s="10" t="str"/>
      <x:c r="U98" s="5" t="str">
        <x:f>IF(Q98="Closed",IF(AND(R98&lt;&gt;"",S98&lt;&gt;""),"Closed recorded","Missing evidence/reviewer"),IF(Q98="N/A approved",IF(AND(T98&lt;&gt;"",S98&lt;&gt;""),"N/A recorded","Missing applicability approval"),"Open"))</x:f>
        <x:v>Open</x:v>
      </x:c>
      <x:c r="V98" s="5" t="str">
        <x:v>Normativa/IEC 62443-4-1 2018.pdf</x:v>
      </x:c>
      <x:c r="W98" s="5" t="str"/>
    </x:row>
    <x:row r="99" ht="36" customHeight="1">
      <x:c r="A99" s="5" t="str">
        <x:v>SDL-DM-2-01</x:v>
      </x:c>
      <x:c r="B99" s="5" t="str">
        <x:v>DM-2</x:v>
      </x:c>
      <x:c r="C99" s="5" t="str">
        <x:v>Issue investigation</x:v>
      </x:c>
      <x:c r="D99" s="5" t="str">
        <x:v>Investigate reported issues promptly for applicability, verifiability and triggering threats</x:v>
      </x:c>
      <x:c r="E99" s="5" t="str">
        <x:v>Mandatory</x:v>
      </x:c>
      <x:c r="F99" s="5" t="str">
        <x:v>In-scope product</x:v>
      </x:c>
      <x:c r="G99" s="5" t="str"/>
      <x:c r="H99" s="5" t="str">
        <x:v>10.3.1</x:v>
      </x:c>
      <x:c r="I99" s="5" t="str">
        <x:v>40-41</x:v>
      </x:c>
      <x:c r="J99" s="5" t="str">
        <x:v>38,39</x:v>
      </x:c>
      <x:c r="K99" s="5" t="str">
        <x:v>Controlled SDL processes, roles, training, supplier risk, issue and release records; see output/IEC_security_review_2026-10-26.md</x:v>
      </x:c>
      <x:c r="L99" s="5" t="str">
        <x:v>HiTEKS product/security lead</x:v>
      </x:c>
      <x:c r="M99" s="5" t="str">
        <x:v>Not demonstrated</x:v>
      </x:c>
      <x:c r="N99" s="5" t="str">
        <x:v>Not demonstrated</x:v>
      </x:c>
      <x:c r="O99" s="5" t="str">
        <x:v>Approved procedure and executed release records, with named reviewers and disposition of findings. Verify: Investigate reported issues promptly for applicability, verifiability and triggering threats.</x:v>
      </x:c>
      <x:c r="P99" s="10" t="str"/>
      <x:c r="Q99" s="10" t="str">
        <x:v>Open</x:v>
      </x:c>
      <x:c r="R99" s="10" t="str"/>
      <x:c r="S99" s="10" t="str"/>
      <x:c r="T99" s="10" t="str"/>
      <x:c r="U99" s="5" t="str">
        <x:f>IF(Q99="Closed",IF(AND(R99&lt;&gt;"",S99&lt;&gt;""),"Closed recorded","Missing evidence/reviewer"),IF(Q99="N/A approved",IF(AND(T99&lt;&gt;"",S99&lt;&gt;""),"N/A recorded","Missing applicability approval"),"Open"))</x:f>
        <x:v>Open</x:v>
      </x:c>
      <x:c r="V99" s="5" t="str">
        <x:v>Normativa/IEC 62443-4-1 2018.pdf</x:v>
      </x:c>
      <x:c r="W99" s="5" t="str"/>
    </x:row>
    <x:row r="100" ht="36" customHeight="1">
      <x:c r="A100" s="5" t="str">
        <x:v>SDL-DM-3-01</x:v>
      </x:c>
      <x:c r="B100" s="5" t="str">
        <x:v>DM-3</x:v>
      </x:c>
      <x:c r="C100" s="5" t="str">
        <x:v>Issue assessment</x:v>
      </x:c>
      <x:c r="D100" s="5" t="str">
        <x:v>Assess impact in actual discovery context, intended product context and defense-in-depth design</x:v>
      </x:c>
      <x:c r="E100" s="5" t="str">
        <x:v>Mandatory</x:v>
      </x:c>
      <x:c r="F100" s="5" t="str">
        <x:v>In-scope product</x:v>
      </x:c>
      <x:c r="G100" s="5" t="str"/>
      <x:c r="H100" s="5" t="str">
        <x:v>10.4.1</x:v>
      </x:c>
      <x:c r="I100" s="5" t="str">
        <x:v>41</x:v>
      </x:c>
      <x:c r="J100" s="5" t="str">
        <x:v>39</x:v>
      </x:c>
      <x:c r="K100" s="5" t="str">
        <x:v>Controlled SDL processes, roles, training, supplier risk, issue and release records; see output/IEC_security_review_2026-10-26.md</x:v>
      </x:c>
      <x:c r="L100" s="5" t="str">
        <x:v>HiTEKS product/security lead</x:v>
      </x:c>
      <x:c r="M100" s="5" t="str">
        <x:v>Not demonstrated</x:v>
      </x:c>
      <x:c r="N100" s="5" t="str">
        <x:v>Not demonstrated</x:v>
      </x:c>
      <x:c r="O100" s="5" t="str">
        <x:v>Approved procedure and executed release records, with named reviewers and disposition of findings. Verify: Assess impact in actual discovery context, intended product context and defense-in-depth design.</x:v>
      </x:c>
      <x:c r="P100" s="10" t="str"/>
      <x:c r="Q100" s="10" t="str">
        <x:v>Open</x:v>
      </x:c>
      <x:c r="R100" s="10" t="str"/>
      <x:c r="S100" s="10" t="str"/>
      <x:c r="T100" s="10" t="str"/>
      <x:c r="U100" s="5" t="str">
        <x:f>IF(Q100="Closed",IF(AND(R100&lt;&gt;"",S100&lt;&gt;""),"Closed recorded","Missing evidence/reviewer"),IF(Q100="N/A approved",IF(AND(T100&lt;&gt;"",S100&lt;&gt;""),"N/A recorded","Missing applicability approval"),"Open"))</x:f>
        <x:v>Open</x:v>
      </x:c>
      <x:c r="V100" s="5" t="str">
        <x:v>Normativa/IEC 62443-4-1 2018.pdf</x:v>
      </x:c>
      <x:c r="W100" s="5" t="str"/>
    </x:row>
    <x:row r="101" ht="36" customHeight="1">
      <x:c r="A101" s="5" t="str">
        <x:v>SDL-DM-3-02</x:v>
      </x:c>
      <x:c r="B101" s="5" t="str">
        <x:v>DM-3</x:v>
      </x:c>
      <x:c r="C101" s="5" t="str">
        <x:v>Issue assessment</x:v>
      </x:c>
      <x:c r="D101" s="5" t="str">
        <x:v>Assign severity using a vulnerability scoring system</x:v>
      </x:c>
      <x:c r="E101" s="5" t="str">
        <x:v>Mandatory</x:v>
      </x:c>
      <x:c r="F101" s="5" t="str">
        <x:v>In-scope product</x:v>
      </x:c>
      <x:c r="G101" s="5" t="str"/>
      <x:c r="H101" s="5" t="str">
        <x:v>10.4.1</x:v>
      </x:c>
      <x:c r="I101" s="5" t="str">
        <x:v>41</x:v>
      </x:c>
      <x:c r="J101" s="5" t="str">
        <x:v>39</x:v>
      </x:c>
      <x:c r="K101" s="5" t="str">
        <x:v>Controlled SDL processes, roles, training, supplier risk, issue and release records; see output/IEC_security_review_2026-10-26.md</x:v>
      </x:c>
      <x:c r="L101" s="5" t="str">
        <x:v>HiTEKS product/security lead</x:v>
      </x:c>
      <x:c r="M101" s="5" t="str">
        <x:v>Not demonstrated</x:v>
      </x:c>
      <x:c r="N101" s="5" t="str">
        <x:v>Not demonstrated</x:v>
      </x:c>
      <x:c r="O101" s="5" t="str">
        <x:v>Approved procedure and executed release records, with named reviewers and disposition of findings. Verify: Assign severity using a vulnerability scoring system.</x:v>
      </x:c>
      <x:c r="P101" s="10" t="str"/>
      <x:c r="Q101" s="10" t="str">
        <x:v>Open</x:v>
      </x:c>
      <x:c r="R101" s="10" t="str"/>
      <x:c r="S101" s="10" t="str"/>
      <x:c r="T101" s="10" t="str"/>
      <x:c r="U101" s="5" t="str">
        <x:f>IF(Q101="Closed",IF(AND(R101&lt;&gt;"",S101&lt;&gt;""),"Closed recorded","Missing evidence/reviewer"),IF(Q101="N/A approved",IF(AND(T101&lt;&gt;"",S101&lt;&gt;""),"N/A recorded","Missing applicability approval"),"Open"))</x:f>
        <x:v>Open</x:v>
      </x:c>
      <x:c r="V101" s="5" t="str">
        <x:v>Normativa/IEC 62443-4-1 2018.pdf</x:v>
      </x:c>
      <x:c r="W101" s="5" t="str"/>
    </x:row>
    <x:row r="102" ht="36" customHeight="1">
      <x:c r="A102" s="5" t="str">
        <x:v>SDL-DM-3-03</x:v>
      </x:c>
      <x:c r="B102" s="5" t="str">
        <x:v>DM-3</x:v>
      </x:c>
      <x:c r="C102" s="5" t="str">
        <x:v>Issue assessment</x:v>
      </x:c>
      <x:c r="D102" s="5" t="str">
        <x:v>Identify affected products/versions, root causes and related issues</x:v>
      </x:c>
      <x:c r="E102" s="5" t="str">
        <x:v>Mandatory</x:v>
      </x:c>
      <x:c r="F102" s="5" t="str">
        <x:v>In-scope product</x:v>
      </x:c>
      <x:c r="G102" s="5" t="str"/>
      <x:c r="H102" s="5" t="str">
        <x:v>10.4.1</x:v>
      </x:c>
      <x:c r="I102" s="5" t="str">
        <x:v>41</x:v>
      </x:c>
      <x:c r="J102" s="5" t="str">
        <x:v>39</x:v>
      </x:c>
      <x:c r="K102" s="5" t="str">
        <x:v>Controlled SDL processes, roles, training, supplier risk, issue and release records; see output/IEC_security_review_2026-10-26.md</x:v>
      </x:c>
      <x:c r="L102" s="5" t="str">
        <x:v>HiTEKS product/security lead</x:v>
      </x:c>
      <x:c r="M102" s="5" t="str">
        <x:v>Not demonstrated</x:v>
      </x:c>
      <x:c r="N102" s="5" t="str">
        <x:v>Not demonstrated</x:v>
      </x:c>
      <x:c r="O102" s="5" t="str">
        <x:v>Approved procedure and executed release records, with named reviewers and disposition of findings. Verify: Identify affected products/versions, root causes and related issues.</x:v>
      </x:c>
      <x:c r="P102" s="10" t="str"/>
      <x:c r="Q102" s="10" t="str">
        <x:v>Open</x:v>
      </x:c>
      <x:c r="R102" s="10" t="str"/>
      <x:c r="S102" s="10" t="str"/>
      <x:c r="T102" s="10" t="str"/>
      <x:c r="U102" s="5" t="str">
        <x:f>IF(Q102="Closed",IF(AND(R102&lt;&gt;"",S102&lt;&gt;""),"Closed recorded","Missing evidence/reviewer"),IF(Q102="N/A approved",IF(AND(T102&lt;&gt;"",S102&lt;&gt;""),"N/A recorded","Missing applicability approval"),"Open"))</x:f>
        <x:v>Open</x:v>
      </x:c>
      <x:c r="V102" s="5" t="str">
        <x:v>Normativa/IEC 62443-4-1 2018.pdf</x:v>
      </x:c>
      <x:c r="W102" s="5" t="str"/>
    </x:row>
    <x:row r="103" ht="36" customHeight="1">
      <x:c r="A103" s="5" t="str">
        <x:v>SDL-DM-4-01</x:v>
      </x:c>
      <x:c r="B103" s="5" t="str">
        <x:v>DM-4</x:v>
      </x:c>
      <x:c r="C103" s="5" t="str">
        <x:v>Issue resolution</x:v>
      </x:c>
      <x:c r="D103" s="5" t="str">
        <x:v>Define an acceptable residual-risk level</x:v>
      </x:c>
      <x:c r="E103" s="5" t="str">
        <x:v>Mandatory</x:v>
      </x:c>
      <x:c r="F103" s="5" t="str">
        <x:v>In-scope product</x:v>
      </x:c>
      <x:c r="G103" s="5" t="str"/>
      <x:c r="H103" s="5" t="str">
        <x:v>10.5.1</x:v>
      </x:c>
      <x:c r="I103" s="5" t="str">
        <x:v>42</x:v>
      </x:c>
      <x:c r="J103" s="5" t="str">
        <x:v>40</x:v>
      </x:c>
      <x:c r="K103" s="5" t="str">
        <x:v>Controlled SDL processes, roles, training, supplier risk, issue and release records; see output/IEC_security_review_2026-10-26.md</x:v>
      </x:c>
      <x:c r="L103" s="5" t="str">
        <x:v>HiTEKS product/security lead</x:v>
      </x:c>
      <x:c r="M103" s="5" t="str">
        <x:v>Not demonstrated</x:v>
      </x:c>
      <x:c r="N103" s="5" t="str">
        <x:v>Not demonstrated</x:v>
      </x:c>
      <x:c r="O103" s="5" t="str">
        <x:v>Approved procedure and executed release records, with named reviewers and disposition of findings. Verify: Define an acceptable residual-risk level.</x:v>
      </x:c>
      <x:c r="P103" s="10" t="str"/>
      <x:c r="Q103" s="10" t="str">
        <x:v>Open</x:v>
      </x:c>
      <x:c r="R103" s="10" t="str"/>
      <x:c r="S103" s="10" t="str"/>
      <x:c r="T103" s="10" t="str"/>
      <x:c r="U103" s="5" t="str">
        <x:f>IF(Q103="Closed",IF(AND(R103&lt;&gt;"",S103&lt;&gt;""),"Closed recorded","Missing evidence/reviewer"),IF(Q103="N/A approved",IF(AND(T103&lt;&gt;"",S103&lt;&gt;""),"N/A recorded","Missing applicability approval"),"Open"))</x:f>
        <x:v>Open</x:v>
      </x:c>
      <x:c r="V103" s="5" t="str">
        <x:v>Normativa/IEC 62443-4-1 2018.pdf</x:v>
      </x:c>
      <x:c r="W103" s="5" t="str"/>
    </x:row>
    <x:row r="104" ht="36" customHeight="1">
      <x:c r="A104" s="5" t="str">
        <x:v>SDL-DM-4-02</x:v>
      </x:c>
      <x:c r="B104" s="5" t="str">
        <x:v>DM-4</x:v>
      </x:c>
      <x:c r="C104" s="5" t="str">
        <x:v>Issue resolution</x:v>
      </x:c>
      <x:c r="D104" s="5" t="str">
        <x:v>Choose and record fix, remediation plan, justified deferral or acceptance below that threshold</x:v>
      </x:c>
      <x:c r="E104" s="5" t="str">
        <x:v>Mandatory</x:v>
      </x:c>
      <x:c r="F104" s="5" t="str">
        <x:v>In-scope product</x:v>
      </x:c>
      <x:c r="G104" s="5" t="str"/>
      <x:c r="H104" s="5" t="str">
        <x:v>10.5.1</x:v>
      </x:c>
      <x:c r="I104" s="5" t="str">
        <x:v>42</x:v>
      </x:c>
      <x:c r="J104" s="5" t="str">
        <x:v>40</x:v>
      </x:c>
      <x:c r="K104" s="5" t="str">
        <x:v>Controlled SDL processes, roles, training, supplier risk, issue and release records; see output/IEC_security_review_2026-10-26.md</x:v>
      </x:c>
      <x:c r="L104" s="5" t="str">
        <x:v>HiTEKS product/security lead</x:v>
      </x:c>
      <x:c r="M104" s="5" t="str">
        <x:v>Not demonstrated</x:v>
      </x:c>
      <x:c r="N104" s="5" t="str">
        <x:v>Not demonstrated</x:v>
      </x:c>
      <x:c r="O104" s="5" t="str">
        <x:v>Approved procedure and executed release records, with named reviewers and disposition of findings. Verify: Choose and record fix, remediation plan, justified deferral or acceptance below that threshold.</x:v>
      </x:c>
      <x:c r="P104" s="10" t="str"/>
      <x:c r="Q104" s="10" t="str">
        <x:v>Open</x:v>
      </x:c>
      <x:c r="R104" s="10" t="str"/>
      <x:c r="S104" s="10" t="str"/>
      <x:c r="T104" s="10" t="str"/>
      <x:c r="U104" s="5" t="str">
        <x:f>IF(Q104="Closed",IF(AND(R104&lt;&gt;"",S104&lt;&gt;""),"Closed recorded","Missing evidence/reviewer"),IF(Q104="N/A approved",IF(AND(T104&lt;&gt;"",S104&lt;&gt;""),"N/A recorded","Missing applicability approval"),"Open"))</x:f>
        <x:v>Open</x:v>
      </x:c>
      <x:c r="V104" s="5" t="str">
        <x:v>Normativa/IEC 62443-4-1 2018.pdf</x:v>
      </x:c>
      <x:c r="W104" s="5" t="str"/>
    </x:row>
    <x:row r="105" ht="36" customHeight="1">
      <x:c r="A105" s="5" t="str">
        <x:v>SDL-DM-4-03</x:v>
      </x:c>
      <x:c r="B105" s="5" t="str">
        <x:v>DM-4</x:v>
      </x:c>
      <x:c r="C105" s="5" t="str">
        <x:v>Issue resolution</x:v>
      </x:c>
      <x:c r="D105" s="5" t="str">
        <x:v>Inform related processes/products/revisions and affected third-party source suppliers</x:v>
      </x:c>
      <x:c r="E105" s="5" t="str">
        <x:v>Mandatory</x:v>
      </x:c>
      <x:c r="F105" s="5" t="str">
        <x:v>In-scope product</x:v>
      </x:c>
      <x:c r="G105" s="5" t="str"/>
      <x:c r="H105" s="5" t="str">
        <x:v>10.5.1</x:v>
      </x:c>
      <x:c r="I105" s="5" t="str">
        <x:v>42</x:v>
      </x:c>
      <x:c r="J105" s="5" t="str">
        <x:v>40</x:v>
      </x:c>
      <x:c r="K105" s="5" t="str">
        <x:v>Controlled SDL processes, roles, training, supplier risk, issue and release records; see output/IEC_security_review_2026-10-26.md</x:v>
      </x:c>
      <x:c r="L105" s="5" t="str">
        <x:v>HiTEKS product/security lead</x:v>
      </x:c>
      <x:c r="M105" s="5" t="str">
        <x:v>Not demonstrated</x:v>
      </x:c>
      <x:c r="N105" s="5" t="str">
        <x:v>Not demonstrated</x:v>
      </x:c>
      <x:c r="O105" s="5" t="str">
        <x:v>Approved procedure and executed release records, with named reviewers and disposition of findings. Verify: Inform related processes/products/revisions and affected third-party source suppliers.</x:v>
      </x:c>
      <x:c r="P105" s="10" t="str"/>
      <x:c r="Q105" s="10" t="str">
        <x:v>Open</x:v>
      </x:c>
      <x:c r="R105" s="10" t="str"/>
      <x:c r="S105" s="10" t="str"/>
      <x:c r="T105" s="10" t="str"/>
      <x:c r="U105" s="5" t="str">
        <x:f>IF(Q105="Closed",IF(AND(R105&lt;&gt;"",S105&lt;&gt;""),"Closed recorded","Missing evidence/reviewer"),IF(Q105="N/A approved",IF(AND(T105&lt;&gt;"",S105&lt;&gt;""),"N/A recorded","Missing applicability approval"),"Open"))</x:f>
        <x:v>Open</x:v>
      </x:c>
      <x:c r="V105" s="5" t="str">
        <x:v>Normativa/IEC 62443-4-1 2018.pdf</x:v>
      </x:c>
      <x:c r="W105" s="5" t="str"/>
    </x:row>
    <x:row r="106" ht="36" customHeight="1">
      <x:c r="A106" s="5" t="str">
        <x:v>SDL-DM-4-04</x:v>
      </x:c>
      <x:c r="B106" s="5" t="str">
        <x:v>DM-4</x:v>
      </x:c>
      <x:c r="C106" s="5" t="str">
        <x:v>Issue resolution</x:v>
      </x:c>
      <x:c r="D106" s="5" t="str">
        <x:v>Evaluate recommendations that prevent recurrence</x:v>
      </x:c>
      <x:c r="E106" s="5" t="str">
        <x:v>Mandatory</x:v>
      </x:c>
      <x:c r="F106" s="5" t="str">
        <x:v>In-scope product</x:v>
      </x:c>
      <x:c r="G106" s="5" t="str"/>
      <x:c r="H106" s="5" t="str">
        <x:v>10.5.1</x:v>
      </x:c>
      <x:c r="I106" s="5" t="str">
        <x:v>42</x:v>
      </x:c>
      <x:c r="J106" s="5" t="str">
        <x:v>40</x:v>
      </x:c>
      <x:c r="K106" s="5" t="str">
        <x:v>Controlled SDL processes, roles, training, supplier risk, issue and release records; see output/IEC_security_review_2026-10-26.md</x:v>
      </x:c>
      <x:c r="L106" s="5" t="str">
        <x:v>HiTEKS product/security lead</x:v>
      </x:c>
      <x:c r="M106" s="5" t="str">
        <x:v>Not demonstrated</x:v>
      </x:c>
      <x:c r="N106" s="5" t="str">
        <x:v>Not demonstrated</x:v>
      </x:c>
      <x:c r="O106" s="5" t="str">
        <x:v>Approved procedure and executed release records, with named reviewers and disposition of findings. Verify: Evaluate recommendations that prevent recurrence.</x:v>
      </x:c>
      <x:c r="P106" s="10" t="str"/>
      <x:c r="Q106" s="10" t="str">
        <x:v>Open</x:v>
      </x:c>
      <x:c r="R106" s="10" t="str"/>
      <x:c r="S106" s="10" t="str"/>
      <x:c r="T106" s="10" t="str"/>
      <x:c r="U106" s="5" t="str">
        <x:f>IF(Q106="Closed",IF(AND(R106&lt;&gt;"",S106&lt;&gt;""),"Closed recorded","Missing evidence/reviewer"),IF(Q106="N/A approved",IF(AND(T106&lt;&gt;"",S106&lt;&gt;""),"N/A recorded","Missing applicability approval"),"Open"))</x:f>
        <x:v>Open</x:v>
      </x:c>
      <x:c r="V106" s="5" t="str">
        <x:v>Normativa/IEC 62443-4-1 2018.pdf</x:v>
      </x:c>
      <x:c r="W106" s="5" t="str"/>
    </x:row>
    <x:row r="107" ht="36" customHeight="1">
      <x:c r="A107" s="5" t="str">
        <x:v>SDL-DM-4-05</x:v>
      </x:c>
      <x:c r="B107" s="5" t="str">
        <x:v>DM-4</x:v>
      </x:c>
      <x:c r="C107" s="5" t="str">
        <x:v>Issue resolution</x:v>
      </x:c>
      <x:c r="D107" s="5" t="str">
        <x:v>Review open issues at least at every release or iteration</x:v>
      </x:c>
      <x:c r="E107" s="5" t="str">
        <x:v>Mandatory</x:v>
      </x:c>
      <x:c r="F107" s="5" t="str">
        <x:v>In-scope product</x:v>
      </x:c>
      <x:c r="G107" s="5" t="str"/>
      <x:c r="H107" s="5" t="str">
        <x:v>10.5.1</x:v>
      </x:c>
      <x:c r="I107" s="5" t="str">
        <x:v>42</x:v>
      </x:c>
      <x:c r="J107" s="5" t="str">
        <x:v>40</x:v>
      </x:c>
      <x:c r="K107" s="5" t="str">
        <x:v>Controlled SDL processes, roles, training, supplier risk, issue and release records; see output/IEC_security_review_2026-10-26.md</x:v>
      </x:c>
      <x:c r="L107" s="5" t="str">
        <x:v>HiTEKS product/security lead</x:v>
      </x:c>
      <x:c r="M107" s="5" t="str">
        <x:v>Not demonstrated</x:v>
      </x:c>
      <x:c r="N107" s="5" t="str">
        <x:v>Not demonstrated</x:v>
      </x:c>
      <x:c r="O107" s="5" t="str">
        <x:v>Approved procedure and executed release records, with named reviewers and disposition of findings. Verify: Review open issues at least at every release or iteration.</x:v>
      </x:c>
      <x:c r="P107" s="10" t="str"/>
      <x:c r="Q107" s="10" t="str">
        <x:v>Open</x:v>
      </x:c>
      <x:c r="R107" s="10" t="str"/>
      <x:c r="S107" s="10" t="str"/>
      <x:c r="T107" s="10" t="str"/>
      <x:c r="U107" s="5" t="str">
        <x:f>IF(Q107="Closed",IF(AND(R107&lt;&gt;"",S107&lt;&gt;""),"Closed recorded","Missing evidence/reviewer"),IF(Q107="N/A approved",IF(AND(T107&lt;&gt;"",S107&lt;&gt;""),"N/A recorded","Missing applicability approval"),"Open"))</x:f>
        <x:v>Open</x:v>
      </x:c>
      <x:c r="V107" s="5" t="str">
        <x:v>Normativa/IEC 62443-4-1 2018.pdf</x:v>
      </x:c>
      <x:c r="W107" s="5" t="str"/>
    </x:row>
    <x:row r="108" ht="36" customHeight="1">
      <x:c r="A108" s="5" t="str">
        <x:v>SDL-DM-5-01</x:v>
      </x:c>
      <x:c r="B108" s="5" t="str">
        <x:v>DM-5</x:v>
      </x:c>
      <x:c r="C108" s="5" t="str">
        <x:v>Vulnerability disclosure</x:v>
      </x:c>
      <x:c r="D108" s="5" t="str">
        <x:v>Inform supported-product users promptly of reportable issues</x:v>
      </x:c>
      <x:c r="E108" s="5" t="str">
        <x:v>Mandatory</x:v>
      </x:c>
      <x:c r="F108" s="5" t="str">
        <x:v>In-scope product</x:v>
      </x:c>
      <x:c r="G108" s="5" t="str"/>
      <x:c r="H108" s="5" t="str">
        <x:v>10.6.1</x:v>
      </x:c>
      <x:c r="I108" s="5" t="str">
        <x:v>43</x:v>
      </x:c>
      <x:c r="J108" s="5" t="str">
        <x:v>41</x:v>
      </x:c>
      <x:c r="K108" s="5" t="str">
        <x:v>Controlled SDL processes, roles, training, supplier risk, issue and release records; see output/IEC_security_review_2026-10-26.md</x:v>
      </x:c>
      <x:c r="L108" s="5" t="str">
        <x:v>HiTEKS product/security lead</x:v>
      </x:c>
      <x:c r="M108" s="5" t="str">
        <x:v>Not demonstrated</x:v>
      </x:c>
      <x:c r="N108" s="5" t="str">
        <x:v>Not demonstrated</x:v>
      </x:c>
      <x:c r="O108" s="5" t="str">
        <x:v>Approved procedure and executed release records, with named reviewers and disposition of findings. Verify: Inform supported-product users promptly of reportable issues.</x:v>
      </x:c>
      <x:c r="P108" s="10" t="str"/>
      <x:c r="Q108" s="10" t="str">
        <x:v>Open</x:v>
      </x:c>
      <x:c r="R108" s="10" t="str"/>
      <x:c r="S108" s="10" t="str"/>
      <x:c r="T108" s="10" t="str"/>
      <x:c r="U108" s="5" t="str">
        <x:f>IF(Q108="Closed",IF(AND(R108&lt;&gt;"",S108&lt;&gt;""),"Closed recorded","Missing evidence/reviewer"),IF(Q108="N/A approved",IF(AND(T108&lt;&gt;"",S108&lt;&gt;""),"N/A recorded","Missing applicability approval"),"Open"))</x:f>
        <x:v>Open</x:v>
      </x:c>
      <x:c r="V108" s="5" t="str">
        <x:v>Normativa/IEC 62443-4-1 2018.pdf</x:v>
      </x:c>
      <x:c r="W108" s="5" t="str"/>
    </x:row>
    <x:row r="109" ht="36" customHeight="1">
      <x:c r="A109" s="5" t="str">
        <x:v>SDL-DM-5-02</x:v>
      </x:c>
      <x:c r="B109" s="5" t="str">
        <x:v>DM-5</x:v>
      </x:c>
      <x:c r="C109" s="5" t="str">
        <x:v>Vulnerability disclosure</x:v>
      </x:c>
      <x:c r="D109" s="5" t="str">
        <x:v>Include issue description, score, affected versions and resolution</x:v>
      </x:c>
      <x:c r="E109" s="5" t="str">
        <x:v>Mandatory</x:v>
      </x:c>
      <x:c r="F109" s="5" t="str">
        <x:v>In-scope product</x:v>
      </x:c>
      <x:c r="G109" s="5" t="str"/>
      <x:c r="H109" s="5" t="str">
        <x:v>10.6.1</x:v>
      </x:c>
      <x:c r="I109" s="5" t="str">
        <x:v>43</x:v>
      </x:c>
      <x:c r="J109" s="5" t="str">
        <x:v>41</x:v>
      </x:c>
      <x:c r="K109" s="5" t="str">
        <x:v>Controlled SDL processes, roles, training, supplier risk, issue and release records; see output/IEC_security_review_2026-10-26.md</x:v>
      </x:c>
      <x:c r="L109" s="5" t="str">
        <x:v>HiTEKS product/security lead</x:v>
      </x:c>
      <x:c r="M109" s="5" t="str">
        <x:v>Not demonstrated</x:v>
      </x:c>
      <x:c r="N109" s="5" t="str">
        <x:v>Not demonstrated</x:v>
      </x:c>
      <x:c r="O109" s="5" t="str">
        <x:v>Approved procedure and executed release records, with named reviewers and disposition of findings. Verify: Include issue description, score, affected versions and resolution.</x:v>
      </x:c>
      <x:c r="P109" s="10" t="str"/>
      <x:c r="Q109" s="10" t="str">
        <x:v>Open</x:v>
      </x:c>
      <x:c r="R109" s="10" t="str"/>
      <x:c r="S109" s="10" t="str"/>
      <x:c r="T109" s="10" t="str"/>
      <x:c r="U109" s="5" t="str">
        <x:f>IF(Q109="Closed",IF(AND(R109&lt;&gt;"",S109&lt;&gt;""),"Closed recorded","Missing evidence/reviewer"),IF(Q109="N/A approved",IF(AND(T109&lt;&gt;"",S109&lt;&gt;""),"N/A recorded","Missing applicability approval"),"Open"))</x:f>
        <x:v>Open</x:v>
      </x:c>
      <x:c r="V109" s="5" t="str">
        <x:v>Normativa/IEC 62443-4-1 2018.pdf</x:v>
      </x:c>
      <x:c r="W109" s="5" t="str"/>
    </x:row>
    <x:row r="110" ht="36" customHeight="1">
      <x:c r="A110" s="5" t="str">
        <x:v>SDL-DM-6-01</x:v>
      </x:c>
      <x:c r="B110" s="5" t="str">
        <x:v>DM-6</x:v>
      </x:c>
      <x:c r="C110" s="5" t="str">
        <x:v>Issue-process review</x:v>
      </x:c>
      <x:c r="D110" s="5" t="str">
        <x:v>Review issue management at least annually</x:v>
      </x:c>
      <x:c r="E110" s="5" t="str">
        <x:v>Mandatory</x:v>
      </x:c>
      <x:c r="F110" s="5" t="str">
        <x:v>In-scope product</x:v>
      </x:c>
      <x:c r="G110" s="5" t="str"/>
      <x:c r="H110" s="5" t="str">
        <x:v>10.7.1</x:v>
      </x:c>
      <x:c r="I110" s="5" t="str">
        <x:v>44</x:v>
      </x:c>
      <x:c r="J110" s="5" t="str">
        <x:v>42</x:v>
      </x:c>
      <x:c r="K110" s="5" t="str">
        <x:v>Controlled SDL processes, roles, training, supplier risk, issue and release records; see output/IEC_security_review_2026-10-26.md</x:v>
      </x:c>
      <x:c r="L110" s="5" t="str">
        <x:v>HiTEKS product/security lead</x:v>
      </x:c>
      <x:c r="M110" s="5" t="str">
        <x:v>Not demonstrated</x:v>
      </x:c>
      <x:c r="N110" s="5" t="str">
        <x:v>Not demonstrated</x:v>
      </x:c>
      <x:c r="O110" s="5" t="str">
        <x:v>Approved procedure and executed release records, with named reviewers and disposition of findings. Verify: Review issue management at least annually.</x:v>
      </x:c>
      <x:c r="P110" s="10" t="str"/>
      <x:c r="Q110" s="10" t="str">
        <x:v>Open</x:v>
      </x:c>
      <x:c r="R110" s="10" t="str"/>
      <x:c r="S110" s="10" t="str"/>
      <x:c r="T110" s="10" t="str"/>
      <x:c r="U110" s="5" t="str">
        <x:f>IF(Q110="Closed",IF(AND(R110&lt;&gt;"",S110&lt;&gt;""),"Closed recorded","Missing evidence/reviewer"),IF(Q110="N/A approved",IF(AND(T110&lt;&gt;"",S110&lt;&gt;""),"N/A recorded","Missing applicability approval"),"Open"))</x:f>
        <x:v>Open</x:v>
      </x:c>
      <x:c r="V110" s="5" t="str">
        <x:v>Normativa/IEC 62443-4-1 2018.pdf</x:v>
      </x:c>
      <x:c r="W110" s="5" t="str"/>
    </x:row>
    <x:row r="111" ht="36" customHeight="1">
      <x:c r="A111" s="5" t="str">
        <x:v>SDL-DM-6-02</x:v>
      </x:c>
      <x:c r="B111" s="5" t="str">
        <x:v>DM-6</x:v>
      </x:c>
      <x:c r="C111" s="5" t="str">
        <x:v>Issue-process review</x:v>
      </x:c>
      <x:c r="D111" s="5" t="str">
        <x:v>Examine all issues since the last review for completeness, efficiency and resolution</x:v>
      </x:c>
      <x:c r="E111" s="5" t="str">
        <x:v>Mandatory</x:v>
      </x:c>
      <x:c r="F111" s="5" t="str">
        <x:v>In-scope product</x:v>
      </x:c>
      <x:c r="G111" s="5" t="str"/>
      <x:c r="H111" s="5" t="str">
        <x:v>10.7.1</x:v>
      </x:c>
      <x:c r="I111" s="5" t="str">
        <x:v>44</x:v>
      </x:c>
      <x:c r="J111" s="5" t="str">
        <x:v>42</x:v>
      </x:c>
      <x:c r="K111" s="5" t="str">
        <x:v>Controlled SDL processes, roles, training, supplier risk, issue and release records; see output/IEC_security_review_2026-10-26.md</x:v>
      </x:c>
      <x:c r="L111" s="5" t="str">
        <x:v>HiTEKS product/security lead</x:v>
      </x:c>
      <x:c r="M111" s="5" t="str">
        <x:v>Not demonstrated</x:v>
      </x:c>
      <x:c r="N111" s="5" t="str">
        <x:v>Not demonstrated</x:v>
      </x:c>
      <x:c r="O111" s="5" t="str">
        <x:v>Approved procedure and executed release records, with named reviewers and disposition of findings. Verify: Examine all issues since the last review for completeness, efficiency and resolution.</x:v>
      </x:c>
      <x:c r="P111" s="10" t="str"/>
      <x:c r="Q111" s="10" t="str">
        <x:v>Open</x:v>
      </x:c>
      <x:c r="R111" s="10" t="str"/>
      <x:c r="S111" s="10" t="str"/>
      <x:c r="T111" s="10" t="str"/>
      <x:c r="U111" s="5" t="str">
        <x:f>IF(Q111="Closed",IF(AND(R111&lt;&gt;"",S111&lt;&gt;""),"Closed recorded","Missing evidence/reviewer"),IF(Q111="N/A approved",IF(AND(T111&lt;&gt;"",S111&lt;&gt;""),"N/A recorded","Missing applicability approval"),"Open"))</x:f>
        <x:v>Open</x:v>
      </x:c>
      <x:c r="V111" s="5" t="str">
        <x:v>Normativa/IEC 62443-4-1 2018.pdf</x:v>
      </x:c>
      <x:c r="W111" s="5" t="str"/>
    </x:row>
    <x:row r="112" ht="36" customHeight="1">
      <x:c r="A112" s="5" t="str">
        <x:v>SDL-SUM-1-01</x:v>
      </x:c>
      <x:c r="B112" s="5" t="str">
        <x:v>SUM-1</x:v>
      </x:c>
      <x:c r="C112" s="5" t="str">
        <x:v>Patch qualification</x:v>
      </x:c>
      <x:c r="D112" s="5" t="str">
        <x:v>Verify own updates fix the intended vulnerabilities</x:v>
      </x:c>
      <x:c r="E112" s="5" t="str">
        <x:v>Mandatory</x:v>
      </x:c>
      <x:c r="F112" s="5" t="str">
        <x:v>In-scope product</x:v>
      </x:c>
      <x:c r="G112" s="5" t="str"/>
      <x:c r="H112" s="5" t="str">
        <x:v>11.2.1</x:v>
      </x:c>
      <x:c r="I112" s="5" t="str">
        <x:v>44</x:v>
      </x:c>
      <x:c r="J112" s="5" t="str">
        <x:v>42</x:v>
      </x:c>
      <x:c r="K112" s="5" t="str">
        <x:v>apps/firmware-updater/src/firmware_updater.cpp; docs/SIGNING_AND_USB_UPDATES.md; package/ccli/Makefile</x:v>
      </x:c>
      <x:c r="L112" s="5" t="str">
        <x:v>HiTEKS release/security lead</x:v>
      </x:c>
      <x:c r="M112" s="5" t="str">
        <x:v>Existing implementation area; requirement acceptance open</x:v>
      </x:c>
      <x:c r="N112" s="5" t="str">
        <x:v>Canonical firmware-updater absent at reviewed GitHub main; verify alternative mechanism</x:v>
      </x:c>
      <x:c r="O112" s="5" t="str">
        <x:v>Signed USB installation and negative signature/replay tests for exact release; verify failure and recovery. Verify: Verify own updates fix the intended vulnerabilities.</x:v>
      </x:c>
      <x:c r="P112" s="10" t="str"/>
      <x:c r="Q112" s="10" t="str">
        <x:v>Open</x:v>
      </x:c>
      <x:c r="R112" s="10" t="str"/>
      <x:c r="S112" s="10" t="str"/>
      <x:c r="T112" s="10" t="str"/>
      <x:c r="U112" s="5" t="str">
        <x:f>IF(Q112="Closed",IF(AND(R112&lt;&gt;"",S112&lt;&gt;""),"Closed recorded","Missing evidence/reviewer"),IF(Q112="N/A approved",IF(AND(T112&lt;&gt;"",S112&lt;&gt;""),"N/A recorded","Missing applicability approval"),"Open"))</x:f>
        <x:v>Open</x:v>
      </x:c>
      <x:c r="V112" s="5" t="str">
        <x:v>Normativa/IEC 62443-4-1 2018.pdf</x:v>
      </x:c>
      <x:c r="W112" s="5" t="str"/>
    </x:row>
    <x:row r="113" ht="47" customHeight="1">
      <x:c r="A113" s="5" t="str">
        <x:v>SDL-SUM-1-02</x:v>
      </x:c>
      <x:c r="B113" s="5" t="str">
        <x:v>SUM-1</x:v>
      </x:c>
      <x:c r="C113" s="5" t="str">
        <x:v>Patch qualification</x:v>
      </x:c>
      <x:c r="D113" s="5" t="str">
        <x:v>Verify no regressions from own patches, supplier patches or dependent platform/component patches</x:v>
      </x:c>
      <x:c r="E113" s="5" t="str">
        <x:v>Mandatory</x:v>
      </x:c>
      <x:c r="F113" s="5" t="str">
        <x:v>In-scope product</x:v>
      </x:c>
      <x:c r="G113" s="5" t="str"/>
      <x:c r="H113" s="5" t="str">
        <x:v>11.2.1</x:v>
      </x:c>
      <x:c r="I113" s="5" t="str">
        <x:v>44</x:v>
      </x:c>
      <x:c r="J113" s="5" t="str">
        <x:v>42</x:v>
      </x:c>
      <x:c r="K113" s="5" t="str">
        <x:v>apps/firmware-updater/src/firmware_updater.cpp; docs/SIGNING_AND_USB_UPDATES.md; package/ccli/Makefile</x:v>
      </x:c>
      <x:c r="L113" s="5" t="str">
        <x:v>HiTEKS release/security lead</x:v>
      </x:c>
      <x:c r="M113" s="5" t="str">
        <x:v>Existing implementation area; requirement acceptance open</x:v>
      </x:c>
      <x:c r="N113" s="5" t="str">
        <x:v>Canonical firmware-updater absent at reviewed GitHub main; verify alternative mechanism</x:v>
      </x:c>
      <x:c r="O113" s="5" t="str">
        <x:v>Signed USB installation and negative signature/replay tests for exact release; verify failure and recovery. Verify: Verify no regressions from own patches, supplier patches or dependent platform/component patches.</x:v>
      </x:c>
      <x:c r="P113" s="10" t="str"/>
      <x:c r="Q113" s="10" t="str">
        <x:v>Open</x:v>
      </x:c>
      <x:c r="R113" s="10" t="str"/>
      <x:c r="S113" s="10" t="str"/>
      <x:c r="T113" s="10" t="str"/>
      <x:c r="U113" s="5" t="str">
        <x:f>IF(Q113="Closed",IF(AND(R113&lt;&gt;"",S113&lt;&gt;""),"Closed recorded","Missing evidence/reviewer"),IF(Q113="N/A approved",IF(AND(T113&lt;&gt;"",S113&lt;&gt;""),"N/A recorded","Missing applicability approval"),"Open"))</x:f>
        <x:v>Open</x:v>
      </x:c>
      <x:c r="V113" s="5" t="str">
        <x:v>Normativa/IEC 62443-4-1 2018.pdf</x:v>
      </x:c>
      <x:c r="W113" s="5" t="str"/>
    </x:row>
    <x:row r="114" ht="36" customHeight="1">
      <x:c r="A114" s="5" t="str">
        <x:v>SDL-SUM-2-01</x:v>
      </x:c>
      <x:c r="B114" s="5" t="str">
        <x:v>SUM-2</x:v>
      </x:c>
      <x:c r="C114" s="5" t="str">
        <x:v>Patch documentation</x:v>
      </x:c>
      <x:c r="D114" s="5" t="str">
        <x:v>Publish affected product versions</x:v>
      </x:c>
      <x:c r="E114" s="5" t="str">
        <x:v>Mandatory</x:v>
      </x:c>
      <x:c r="F114" s="5" t="str">
        <x:v>In-scope product</x:v>
      </x:c>
      <x:c r="G114" s="5" t="str"/>
      <x:c r="H114" s="5" t="str">
        <x:v>11.3.1</x:v>
      </x:c>
      <x:c r="I114" s="5" t="str">
        <x:v>44-45</x:v>
      </x:c>
      <x:c r="J114" s="5" t="str">
        <x:v>42,43</x:v>
      </x:c>
      <x:c r="K114" s="5" t="str">
        <x:v>apps/firmware-updater/src/firmware_updater.cpp; docs/SIGNING_AND_USB_UPDATES.md; package/ccli/Makefile</x:v>
      </x:c>
      <x:c r="L114" s="5" t="str">
        <x:v>HiTEKS release/security lead</x:v>
      </x:c>
      <x:c r="M114" s="5" t="str">
        <x:v>Existing implementation area; requirement acceptance open</x:v>
      </x:c>
      <x:c r="N114" s="5" t="str">
        <x:v>Canonical firmware-updater absent at reviewed GitHub main; verify alternative mechanism</x:v>
      </x:c>
      <x:c r="O114" s="5" t="str">
        <x:v>Signed USB installation and negative signature/replay tests for exact release; verify failure and recovery. Verify: Publish affected product versions.</x:v>
      </x:c>
      <x:c r="P114" s="10" t="str"/>
      <x:c r="Q114" s="10" t="str">
        <x:v>Open</x:v>
      </x:c>
      <x:c r="R114" s="10" t="str"/>
      <x:c r="S114" s="10" t="str"/>
      <x:c r="T114" s="10" t="str"/>
      <x:c r="U114" s="5" t="str">
        <x:f>IF(Q114="Closed",IF(AND(R114&lt;&gt;"",S114&lt;&gt;""),"Closed recorded","Missing evidence/reviewer"),IF(Q114="N/A approved",IF(AND(T114&lt;&gt;"",S114&lt;&gt;""),"N/A recorded","Missing applicability approval"),"Open"))</x:f>
        <x:v>Open</x:v>
      </x:c>
      <x:c r="V114" s="5" t="str">
        <x:v>Normativa/IEC 62443-4-1 2018.pdf</x:v>
      </x:c>
      <x:c r="W114" s="5" t="str"/>
    </x:row>
    <x:row r="115" ht="36" customHeight="1">
      <x:c r="A115" s="5" t="str">
        <x:v>SDL-SUM-2-02</x:v>
      </x:c>
      <x:c r="B115" s="5" t="str">
        <x:v>SUM-2</x:v>
      </x:c>
      <x:c r="C115" s="5" t="str">
        <x:v>Patch documentation</x:v>
      </x:c>
      <x:c r="D115" s="5" t="str">
        <x:v>Provide manual and automated approved-patch instructions</x:v>
      </x:c>
      <x:c r="E115" s="5" t="str">
        <x:v>Mandatory</x:v>
      </x:c>
      <x:c r="F115" s="5" t="str">
        <x:v>In-scope product</x:v>
      </x:c>
      <x:c r="G115" s="5" t="str"/>
      <x:c r="H115" s="5" t="str">
        <x:v>11.3.1</x:v>
      </x:c>
      <x:c r="I115" s="5" t="str">
        <x:v>44-45</x:v>
      </x:c>
      <x:c r="J115" s="5" t="str">
        <x:v>42,43</x:v>
      </x:c>
      <x:c r="K115" s="5" t="str">
        <x:v>apps/firmware-updater/src/firmware_updater.cpp; docs/SIGNING_AND_USB_UPDATES.md; package/ccli/Makefile</x:v>
      </x:c>
      <x:c r="L115" s="5" t="str">
        <x:v>HiTEKS release/security lead</x:v>
      </x:c>
      <x:c r="M115" s="5" t="str">
        <x:v>Existing implementation area; requirement acceptance open</x:v>
      </x:c>
      <x:c r="N115" s="5" t="str">
        <x:v>Canonical firmware-updater absent at reviewed GitHub main; verify alternative mechanism</x:v>
      </x:c>
      <x:c r="O115" s="5" t="str">
        <x:v>Signed USB installation and negative signature/replay tests for exact release; verify failure and recovery. Verify: Provide manual and automated approved-patch instructions.</x:v>
      </x:c>
      <x:c r="P115" s="10" t="str"/>
      <x:c r="Q115" s="10" t="str">
        <x:v>Open</x:v>
      </x:c>
      <x:c r="R115" s="10" t="str"/>
      <x:c r="S115" s="10" t="str"/>
      <x:c r="T115" s="10" t="str"/>
      <x:c r="U115" s="5" t="str">
        <x:f>IF(Q115="Closed",IF(AND(R115&lt;&gt;"",S115&lt;&gt;""),"Closed recorded","Missing evidence/reviewer"),IF(Q115="N/A approved",IF(AND(T115&lt;&gt;"",S115&lt;&gt;""),"N/A recorded","Missing applicability approval"),"Open"))</x:f>
        <x:v>Open</x:v>
      </x:c>
      <x:c r="V115" s="5" t="str">
        <x:v>Normativa/IEC 62443-4-1 2018.pdf</x:v>
      </x:c>
      <x:c r="W115" s="5" t="str"/>
    </x:row>
    <x:row r="116" ht="36" customHeight="1">
      <x:c r="A116" s="5" t="str">
        <x:v>SDL-SUM-2-03</x:v>
      </x:c>
      <x:c r="B116" s="5" t="str">
        <x:v>SUM-2</x:v>
      </x:c>
      <x:c r="C116" s="5" t="str">
        <x:v>Patch documentation</x:v>
      </x:c>
      <x:c r="D116" s="5" t="str">
        <x:v>Describe impacts including restart</x:v>
      </x:c>
      <x:c r="E116" s="5" t="str">
        <x:v>Mandatory</x:v>
      </x:c>
      <x:c r="F116" s="5" t="str">
        <x:v>In-scope product</x:v>
      </x:c>
      <x:c r="G116" s="5" t="str"/>
      <x:c r="H116" s="5" t="str">
        <x:v>11.3.1</x:v>
      </x:c>
      <x:c r="I116" s="5" t="str">
        <x:v>44-45</x:v>
      </x:c>
      <x:c r="J116" s="5" t="str">
        <x:v>42,43</x:v>
      </x:c>
      <x:c r="K116" s="5" t="str">
        <x:v>apps/firmware-updater/src/firmware_updater.cpp; docs/SIGNING_AND_USB_UPDATES.md; package/ccli/Makefile</x:v>
      </x:c>
      <x:c r="L116" s="5" t="str">
        <x:v>HiTEKS release/security lead</x:v>
      </x:c>
      <x:c r="M116" s="5" t="str">
        <x:v>Existing implementation area; requirement acceptance open</x:v>
      </x:c>
      <x:c r="N116" s="5" t="str">
        <x:v>Canonical firmware-updater absent at reviewed GitHub main; verify alternative mechanism</x:v>
      </x:c>
      <x:c r="O116" s="5" t="str">
        <x:v>Signed USB installation and negative signature/replay tests for exact release; verify failure and recovery. Verify: Describe impacts including restart.</x:v>
      </x:c>
      <x:c r="P116" s="10" t="str"/>
      <x:c r="Q116" s="10" t="str">
        <x:v>Open</x:v>
      </x:c>
      <x:c r="R116" s="10" t="str"/>
      <x:c r="S116" s="10" t="str"/>
      <x:c r="T116" s="10" t="str"/>
      <x:c r="U116" s="5" t="str">
        <x:f>IF(Q116="Closed",IF(AND(R116&lt;&gt;"",S116&lt;&gt;""),"Closed recorded","Missing evidence/reviewer"),IF(Q116="N/A approved",IF(AND(T116&lt;&gt;"",S116&lt;&gt;""),"N/A recorded","Missing applicability approval"),"Open"))</x:f>
        <x:v>Open</x:v>
      </x:c>
      <x:c r="V116" s="5" t="str">
        <x:v>Normativa/IEC 62443-4-1 2018.pdf</x:v>
      </x:c>
      <x:c r="W116" s="5" t="str"/>
    </x:row>
    <x:row r="117" ht="36" customHeight="1">
      <x:c r="A117" s="5" t="str">
        <x:v>SDL-SUM-2-04</x:v>
      </x:c>
      <x:c r="B117" s="5" t="str">
        <x:v>SUM-2</x:v>
      </x:c>
      <x:c r="C117" s="5" t="str">
        <x:v>Patch documentation</x:v>
      </x:c>
      <x:c r="D117" s="5" t="str">
        <x:v>Explain how to verify application</x:v>
      </x:c>
      <x:c r="E117" s="5" t="str">
        <x:v>Mandatory</x:v>
      </x:c>
      <x:c r="F117" s="5" t="str">
        <x:v>In-scope product</x:v>
      </x:c>
      <x:c r="G117" s="5" t="str"/>
      <x:c r="H117" s="5" t="str">
        <x:v>11.3.1</x:v>
      </x:c>
      <x:c r="I117" s="5" t="str">
        <x:v>44-45</x:v>
      </x:c>
      <x:c r="J117" s="5" t="str">
        <x:v>42,43</x:v>
      </x:c>
      <x:c r="K117" s="5" t="str">
        <x:v>apps/firmware-updater/src/firmware_updater.cpp; docs/SIGNING_AND_USB_UPDATES.md; package/ccli/Makefile</x:v>
      </x:c>
      <x:c r="L117" s="5" t="str">
        <x:v>HiTEKS release/security lead</x:v>
      </x:c>
      <x:c r="M117" s="5" t="str">
        <x:v>Existing implementation area; requirement acceptance open</x:v>
      </x:c>
      <x:c r="N117" s="5" t="str">
        <x:v>Canonical firmware-updater absent at reviewed GitHub main; verify alternative mechanism</x:v>
      </x:c>
      <x:c r="O117" s="5" t="str">
        <x:v>Signed USB installation and negative signature/replay tests for exact release; verify failure and recovery. Verify: Explain how to verify application.</x:v>
      </x:c>
      <x:c r="P117" s="10" t="str"/>
      <x:c r="Q117" s="10" t="str">
        <x:v>Open</x:v>
      </x:c>
      <x:c r="R117" s="10" t="str"/>
      <x:c r="S117" s="10" t="str"/>
      <x:c r="T117" s="10" t="str"/>
      <x:c r="U117" s="5" t="str">
        <x:f>IF(Q117="Closed",IF(AND(R117&lt;&gt;"",S117&lt;&gt;""),"Closed recorded","Missing evidence/reviewer"),IF(Q117="N/A approved",IF(AND(T117&lt;&gt;"",S117&lt;&gt;""),"N/A recorded","Missing applicability approval"),"Open"))</x:f>
        <x:v>Open</x:v>
      </x:c>
      <x:c r="V117" s="5" t="str">
        <x:v>Normativa/IEC 62443-4-1 2018.pdf</x:v>
      </x:c>
      <x:c r="W117" s="5" t="str"/>
    </x:row>
    <x:row r="118" ht="36" customHeight="1">
      <x:c r="A118" s="5" t="str">
        <x:v>SDL-SUM-2-05</x:v>
      </x:c>
      <x:c r="B118" s="5" t="str">
        <x:v>SUM-2</x:v>
      </x:c>
      <x:c r="C118" s="5" t="str">
        <x:v>Patch documentation</x:v>
      </x:c>
      <x:c r="D118" s="5" t="str">
        <x:v>Document risks of not applying and mitigations for non-approved/non-deployed patches</x:v>
      </x:c>
      <x:c r="E118" s="5" t="str">
        <x:v>Mandatory</x:v>
      </x:c>
      <x:c r="F118" s="5" t="str">
        <x:v>In-scope product</x:v>
      </x:c>
      <x:c r="G118" s="5" t="str"/>
      <x:c r="H118" s="5" t="str">
        <x:v>11.3.1</x:v>
      </x:c>
      <x:c r="I118" s="5" t="str">
        <x:v>44-45</x:v>
      </x:c>
      <x:c r="J118" s="5" t="str">
        <x:v>42,43</x:v>
      </x:c>
      <x:c r="K118" s="5" t="str">
        <x:v>apps/firmware-updater/src/firmware_updater.cpp; docs/SIGNING_AND_USB_UPDATES.md; package/ccli/Makefile</x:v>
      </x:c>
      <x:c r="L118" s="5" t="str">
        <x:v>HiTEKS release/security lead</x:v>
      </x:c>
      <x:c r="M118" s="5" t="str">
        <x:v>Existing implementation area; requirement acceptance open</x:v>
      </x:c>
      <x:c r="N118" s="5" t="str">
        <x:v>Canonical firmware-updater absent at reviewed GitHub main; verify alternative mechanism</x:v>
      </x:c>
      <x:c r="O118" s="5" t="str">
        <x:v>Signed USB installation and negative signature/replay tests for exact release; verify failure and recovery. Verify: Document risks of not applying and mitigations for non-approved/non-deployed patches.</x:v>
      </x:c>
      <x:c r="P118" s="10" t="str"/>
      <x:c r="Q118" s="10" t="str">
        <x:v>Open</x:v>
      </x:c>
      <x:c r="R118" s="10" t="str"/>
      <x:c r="S118" s="10" t="str"/>
      <x:c r="T118" s="10" t="str"/>
      <x:c r="U118" s="5" t="str">
        <x:f>IF(Q118="Closed",IF(AND(R118&lt;&gt;"",S118&lt;&gt;""),"Closed recorded","Missing evidence/reviewer"),IF(Q118="N/A approved",IF(AND(T118&lt;&gt;"",S118&lt;&gt;""),"N/A recorded","Missing applicability approval"),"Open"))</x:f>
        <x:v>Open</x:v>
      </x:c>
      <x:c r="V118" s="5" t="str">
        <x:v>Normativa/IEC 62443-4-1 2018.pdf</x:v>
      </x:c>
      <x:c r="W118" s="5" t="str"/>
    </x:row>
    <x:row r="119" ht="36" customHeight="1">
      <x:c r="A119" s="5" t="str">
        <x:v>SDL-SUM-3-01</x:v>
      </x:c>
      <x:c r="B119" s="5" t="str">
        <x:v>SUM-3</x:v>
      </x:c>
      <x:c r="C119" s="5" t="str">
        <x:v>Dependency patch guidance</x:v>
      </x:c>
      <x:c r="D119" s="5" t="str">
        <x:v>State product compatibility with component/OS security updates</x:v>
      </x:c>
      <x:c r="E119" s="5" t="str">
        <x:v>Mandatory</x:v>
      </x:c>
      <x:c r="F119" s="5" t="str">
        <x:v>In-scope product</x:v>
      </x:c>
      <x:c r="G119" s="5" t="str"/>
      <x:c r="H119" s="5" t="str">
        <x:v>11.4.1</x:v>
      </x:c>
      <x:c r="I119" s="5" t="str">
        <x:v>45</x:v>
      </x:c>
      <x:c r="J119" s="5" t="str">
        <x:v>43</x:v>
      </x:c>
      <x:c r="K119" s="5" t="str">
        <x:v>apps/firmware-updater/src/firmware_updater.cpp; docs/SIGNING_AND_USB_UPDATES.md; package/ccli/Makefile</x:v>
      </x:c>
      <x:c r="L119" s="5" t="str">
        <x:v>HiTEKS release/security lead</x:v>
      </x:c>
      <x:c r="M119" s="5" t="str">
        <x:v>Existing implementation area; requirement acceptance open</x:v>
      </x:c>
      <x:c r="N119" s="5" t="str">
        <x:v>Canonical firmware-updater absent at reviewed GitHub main; verify alternative mechanism</x:v>
      </x:c>
      <x:c r="O119" s="5" t="str">
        <x:v>Signed USB installation and negative signature/replay tests for exact release; verify failure and recovery. Verify: State product compatibility with component/OS security updates.</x:v>
      </x:c>
      <x:c r="P119" s="10" t="str"/>
      <x:c r="Q119" s="10" t="str">
        <x:v>Open</x:v>
      </x:c>
      <x:c r="R119" s="10" t="str"/>
      <x:c r="S119" s="10" t="str"/>
      <x:c r="T119" s="10" t="str"/>
      <x:c r="U119" s="5" t="str">
        <x:f>IF(Q119="Closed",IF(AND(R119&lt;&gt;"",S119&lt;&gt;""),"Closed recorded","Missing evidence/reviewer"),IF(Q119="N/A approved",IF(AND(T119&lt;&gt;"",S119&lt;&gt;""),"N/A recorded","Missing applicability approval"),"Open"))</x:f>
        <x:v>Open</x:v>
      </x:c>
      <x:c r="V119" s="5" t="str">
        <x:v>Normativa/IEC 62443-4-1 2018.pdf</x:v>
      </x:c>
      <x:c r="W119" s="5" t="str"/>
    </x:row>
    <x:row r="120" ht="36" customHeight="1">
      <x:c r="A120" s="5" t="str">
        <x:v>SDL-SUM-3-02</x:v>
      </x:c>
      <x:c r="B120" s="5" t="str">
        <x:v>SUM-3</x:v>
      </x:c>
      <x:c r="C120" s="5" t="str">
        <x:v>Dependency patch guidance</x:v>
      </x:c>
      <x:c r="D120" s="5" t="str">
        <x:v>Provide mitigations for updates not approved by the supplier</x:v>
      </x:c>
      <x:c r="E120" s="5" t="str">
        <x:v>Mandatory</x:v>
      </x:c>
      <x:c r="F120" s="5" t="str">
        <x:v>In-scope product</x:v>
      </x:c>
      <x:c r="G120" s="5" t="str"/>
      <x:c r="H120" s="5" t="str">
        <x:v>11.4.1</x:v>
      </x:c>
      <x:c r="I120" s="5" t="str">
        <x:v>45</x:v>
      </x:c>
      <x:c r="J120" s="5" t="str">
        <x:v>43</x:v>
      </x:c>
      <x:c r="K120" s="5" t="str">
        <x:v>apps/firmware-updater/src/firmware_updater.cpp; docs/SIGNING_AND_USB_UPDATES.md; package/ccli/Makefile</x:v>
      </x:c>
      <x:c r="L120" s="5" t="str">
        <x:v>HiTEKS release/security lead</x:v>
      </x:c>
      <x:c r="M120" s="5" t="str">
        <x:v>Existing implementation area; requirement acceptance open</x:v>
      </x:c>
      <x:c r="N120" s="5" t="str">
        <x:v>Canonical firmware-updater absent at reviewed GitHub main; verify alternative mechanism</x:v>
      </x:c>
      <x:c r="O120" s="5" t="str">
        <x:v>Signed USB installation and negative signature/replay tests for exact release; verify failure and recovery. Verify: Provide mitigations for updates not approved by the supplier.</x:v>
      </x:c>
      <x:c r="P120" s="10" t="str"/>
      <x:c r="Q120" s="10" t="str">
        <x:v>Open</x:v>
      </x:c>
      <x:c r="R120" s="10" t="str"/>
      <x:c r="S120" s="10" t="str"/>
      <x:c r="T120" s="10" t="str"/>
      <x:c r="U120" s="5" t="str">
        <x:f>IF(Q120="Closed",IF(AND(R120&lt;&gt;"",S120&lt;&gt;""),"Closed recorded","Missing evidence/reviewer"),IF(Q120="N/A approved",IF(AND(T120&lt;&gt;"",S120&lt;&gt;""),"N/A recorded","Missing applicability approval"),"Open"))</x:f>
        <x:v>Open</x:v>
      </x:c>
      <x:c r="V120" s="5" t="str">
        <x:v>Normativa/IEC 62443-4-1 2018.pdf</x:v>
      </x:c>
      <x:c r="W120" s="5" t="str"/>
    </x:row>
    <x:row r="121" ht="47" customHeight="1">
      <x:c r="A121" s="5" t="str">
        <x:v>SDL-SUM-4-01</x:v>
      </x:c>
      <x:c r="B121" s="5" t="str">
        <x:v>SUM-4</x:v>
      </x:c>
      <x:c r="C121" s="5" t="str">
        <x:v>Authentic patch delivery</x:v>
      </x:c>
      <x:c r="D121" s="5" t="str">
        <x:v>Make patches available for all supported products/versions in a way users can verify authenticity</x:v>
      </x:c>
      <x:c r="E121" s="5" t="str">
        <x:v>Mandatory</x:v>
      </x:c>
      <x:c r="F121" s="5" t="str">
        <x:v>In-scope product</x:v>
      </x:c>
      <x:c r="G121" s="5" t="str"/>
      <x:c r="H121" s="5" t="str">
        <x:v>11.5.1</x:v>
      </x:c>
      <x:c r="I121" s="5" t="str">
        <x:v>45</x:v>
      </x:c>
      <x:c r="J121" s="5" t="str">
        <x:v>43</x:v>
      </x:c>
      <x:c r="K121" s="5" t="str">
        <x:v>apps/firmware-updater/src/firmware_updater.cpp; docs/SIGNING_AND_USB_UPDATES.md; package/ccli/Makefile</x:v>
      </x:c>
      <x:c r="L121" s="5" t="str">
        <x:v>HiTEKS release/security lead</x:v>
      </x:c>
      <x:c r="M121" s="5" t="str">
        <x:v>Existing implementation area; requirement acceptance open</x:v>
      </x:c>
      <x:c r="N121" s="5" t="str">
        <x:v>Canonical firmware-updater absent at reviewed GitHub main; verify alternative mechanism</x:v>
      </x:c>
      <x:c r="O121" s="5" t="str">
        <x:v>Signed USB installation and negative signature/replay tests for exact release; verify failure and recovery. Verify: Make patches available for all supported products/versions in a way users can verify authenticity.</x:v>
      </x:c>
      <x:c r="P121" s="10" t="str"/>
      <x:c r="Q121" s="10" t="str">
        <x:v>Open</x:v>
      </x:c>
      <x:c r="R121" s="10" t="str"/>
      <x:c r="S121" s="10" t="str"/>
      <x:c r="T121" s="10" t="str"/>
      <x:c r="U121" s="5" t="str">
        <x:f>IF(Q121="Closed",IF(AND(R121&lt;&gt;"",S121&lt;&gt;""),"Closed recorded","Missing evidence/reviewer"),IF(Q121="N/A approved",IF(AND(T121&lt;&gt;"",S121&lt;&gt;""),"N/A recorded","Missing applicability approval"),"Open"))</x:f>
        <x:v>Open</x:v>
      </x:c>
      <x:c r="V121" s="5" t="str">
        <x:v>Normativa/IEC 62443-4-1 2018.pdf</x:v>
      </x:c>
      <x:c r="W121" s="5" t="str"/>
    </x:row>
    <x:row r="122" ht="36" customHeight="1">
      <x:c r="A122" s="5" t="str">
        <x:v>SDL-SUM-5-01</x:v>
      </x:c>
      <x:c r="B122" s="5" t="str">
        <x:v>SUM-5</x:v>
      </x:c>
      <x:c r="C122" s="5" t="str">
        <x:v>Patch timeliness</x:v>
      </x:c>
      <x:c r="D122" s="5" t="str">
        <x:v>Define and follow qualification/delivery timing policy</x:v>
      </x:c>
      <x:c r="E122" s="5" t="str">
        <x:v>Mandatory</x:v>
      </x:c>
      <x:c r="F122" s="5" t="str">
        <x:v>In-scope product</x:v>
      </x:c>
      <x:c r="G122" s="5" t="str"/>
      <x:c r="H122" s="5" t="str">
        <x:v>11.6.1</x:v>
      </x:c>
      <x:c r="I122" s="5" t="str">
        <x:v>46</x:v>
      </x:c>
      <x:c r="J122" s="5" t="str">
        <x:v>44</x:v>
      </x:c>
      <x:c r="K122" s="5" t="str">
        <x:v>apps/firmware-updater/src/firmware_updater.cpp; docs/SIGNING_AND_USB_UPDATES.md; package/ccli/Makefile</x:v>
      </x:c>
      <x:c r="L122" s="5" t="str">
        <x:v>HiTEKS release/security lead</x:v>
      </x:c>
      <x:c r="M122" s="5" t="str">
        <x:v>Existing implementation area; requirement acceptance open</x:v>
      </x:c>
      <x:c r="N122" s="5" t="str">
        <x:v>Canonical firmware-updater absent at reviewed GitHub main; verify alternative mechanism</x:v>
      </x:c>
      <x:c r="O122" s="5" t="str">
        <x:v>Signed USB installation and negative signature/replay tests for exact release; verify failure and recovery. Verify: Define and follow qualification/delivery timing policy.</x:v>
      </x:c>
      <x:c r="P122" s="10" t="str"/>
      <x:c r="Q122" s="10" t="str">
        <x:v>Open</x:v>
      </x:c>
      <x:c r="R122" s="10" t="str"/>
      <x:c r="S122" s="10" t="str"/>
      <x:c r="T122" s="10" t="str"/>
      <x:c r="U122" s="5" t="str">
        <x:f>IF(Q122="Closed",IF(AND(R122&lt;&gt;"",S122&lt;&gt;""),"Closed recorded","Missing evidence/reviewer"),IF(Q122="N/A approved",IF(AND(T122&lt;&gt;"",S122&lt;&gt;""),"N/A recorded","Missing applicability approval"),"Open"))</x:f>
        <x:v>Open</x:v>
      </x:c>
      <x:c r="V122" s="5" t="str">
        <x:v>Normativa/IEC 62443-4-1 2018.pdf</x:v>
      </x:c>
      <x:c r="W122" s="5" t="str"/>
    </x:row>
    <x:row r="123" ht="47" customHeight="1">
      <x:c r="A123" s="5" t="str">
        <x:v>SDL-SUM-5-02</x:v>
      </x:c>
      <x:c r="B123" s="5" t="str">
        <x:v>SUM-5</x:v>
      </x:c>
      <x:c r="C123" s="5" t="str">
        <x:v>Patch timeliness</x:v>
      </x:c>
      <x:c r="D123" s="5" t="str">
        <x:v>Consider vulnerability impact, public knowledge, published exploits, affected installed population and available mitigation</x:v>
      </x:c>
      <x:c r="E123" s="5" t="str">
        <x:v>Mandatory</x:v>
      </x:c>
      <x:c r="F123" s="5" t="str">
        <x:v>In-scope product</x:v>
      </x:c>
      <x:c r="G123" s="5" t="str"/>
      <x:c r="H123" s="5" t="str">
        <x:v>11.6.1</x:v>
      </x:c>
      <x:c r="I123" s="5" t="str">
        <x:v>46</x:v>
      </x:c>
      <x:c r="J123" s="5" t="str">
        <x:v>44</x:v>
      </x:c>
      <x:c r="K123" s="5" t="str">
        <x:v>apps/firmware-updater/src/firmware_updater.cpp; docs/SIGNING_AND_USB_UPDATES.md; package/ccli/Makefile</x:v>
      </x:c>
      <x:c r="L123" s="5" t="str">
        <x:v>HiTEKS release/security lead</x:v>
      </x:c>
      <x:c r="M123" s="5" t="str">
        <x:v>Existing implementation area; requirement acceptance open</x:v>
      </x:c>
      <x:c r="N123" s="5" t="str">
        <x:v>Canonical firmware-updater absent at reviewed GitHub main; verify alternative mechanism</x:v>
      </x:c>
      <x:c r="O123" s="5" t="str">
        <x:v>Signed USB installation and negative signature/replay tests for exact release; verify failure and recovery. Verify: Consider vulnerability impact, public knowledge, published exploits, affected installed population and available mitigation.</x:v>
      </x:c>
      <x:c r="P123" s="10" t="str"/>
      <x:c r="Q123" s="10" t="str">
        <x:v>Open</x:v>
      </x:c>
      <x:c r="R123" s="10" t="str"/>
      <x:c r="S123" s="10" t="str"/>
      <x:c r="T123" s="10" t="str"/>
      <x:c r="U123" s="5" t="str">
        <x:f>IF(Q123="Closed",IF(AND(R123&lt;&gt;"",S123&lt;&gt;""),"Closed recorded","Missing evidence/reviewer"),IF(Q123="N/A approved",IF(AND(T123&lt;&gt;"",S123&lt;&gt;""),"N/A recorded","Missing applicability approval"),"Open"))</x:f>
        <x:v>Open</x:v>
      </x:c>
      <x:c r="V123" s="5" t="str">
        <x:v>Normativa/IEC 62443-4-1 2018.pdf</x:v>
      </x:c>
      <x:c r="W123" s="5" t="str"/>
    </x:row>
    <x:row r="124" ht="36" customHeight="1">
      <x:c r="A124" s="5" t="str">
        <x:v>SDL-SG-1-01</x:v>
      </x:c>
      <x:c r="B124" s="5" t="str">
        <x:v>SG-1</x:v>
      </x:c>
      <x:c r="C124" s="5" t="str">
        <x:v>Product security guide</x:v>
      </x:c>
      <x:c r="D124" s="5" t="str">
        <x:v>Document implemented security capabilities and their defensive roles</x:v>
      </x:c>
      <x:c r="E124" s="5" t="str">
        <x:v>Mandatory</x:v>
      </x:c>
      <x:c r="F124" s="5" t="str">
        <x:v>In-scope product</x:v>
      </x:c>
      <x:c r="G124" s="5" t="str"/>
      <x:c r="H124" s="5" t="str">
        <x:v>12.2.1</x:v>
      </x:c>
      <x:c r="I124" s="5" t="str">
        <x:v>46-47</x:v>
      </x:c>
      <x:c r="J124" s="5" t="str">
        <x:v>44,45</x:v>
      </x:c>
      <x:c r="K124" s="5" t="str">
        <x:v>Controlled product installation, hardening, operation, account, update and disposal manuals; current repository runbooks are evidence seeds</x:v>
      </x:c>
      <x:c r="L124" s="5" t="str">
        <x:v>HiTEKS documentation/security lead</x:v>
      </x:c>
      <x:c r="M124" s="5" t="str">
        <x:v>Not demonstrated</x:v>
      </x:c>
      <x:c r="N124" s="5" t="str">
        <x:v>Not demonstrated</x:v>
      </x:c>
      <x:c r="O124" s="5" t="str">
        <x:v>Approved guide plus independent walkthrough on the exact released product. Verify: Document implemented security capabilities and their defensive roles.</x:v>
      </x:c>
      <x:c r="P124" s="10" t="str"/>
      <x:c r="Q124" s="10" t="str">
        <x:v>Open</x:v>
      </x:c>
      <x:c r="R124" s="10" t="str"/>
      <x:c r="S124" s="10" t="str"/>
      <x:c r="T124" s="10" t="str"/>
      <x:c r="U124" s="5" t="str">
        <x:f>IF(Q124="Closed",IF(AND(R124&lt;&gt;"",S124&lt;&gt;""),"Closed recorded","Missing evidence/reviewer"),IF(Q124="N/A approved",IF(AND(T124&lt;&gt;"",S124&lt;&gt;""),"N/A recorded","Missing applicability approval"),"Open"))</x:f>
        <x:v>Open</x:v>
      </x:c>
      <x:c r="V124" s="5" t="str">
        <x:v>Normativa/IEC 62443-4-1 2018.pdf</x:v>
      </x:c>
      <x:c r="W124" s="5" t="str"/>
    </x:row>
    <x:row r="125" ht="36" customHeight="1">
      <x:c r="A125" s="5" t="str">
        <x:v>SDL-SG-1-02</x:v>
      </x:c>
      <x:c r="B125" s="5" t="str">
        <x:v>SG-1</x:v>
      </x:c>
      <x:c r="C125" s="5" t="str">
        <x:v>Product security guide</x:v>
      </x:c>
      <x:c r="D125" s="5" t="str">
        <x:v>Document addressed threats</x:v>
      </x:c>
      <x:c r="E125" s="5" t="str">
        <x:v>Mandatory</x:v>
      </x:c>
      <x:c r="F125" s="5" t="str">
        <x:v>In-scope product</x:v>
      </x:c>
      <x:c r="G125" s="5" t="str"/>
      <x:c r="H125" s="5" t="str">
        <x:v>12.2.1</x:v>
      </x:c>
      <x:c r="I125" s="5" t="str">
        <x:v>46-47</x:v>
      </x:c>
      <x:c r="J125" s="5" t="str">
        <x:v>44,45</x:v>
      </x:c>
      <x:c r="K125" s="5" t="str">
        <x:v>Controlled product installation, hardening, operation, account, update and disposal manuals; current repository runbooks are evidence seeds</x:v>
      </x:c>
      <x:c r="L125" s="5" t="str">
        <x:v>HiTEKS documentation/security lead</x:v>
      </x:c>
      <x:c r="M125" s="5" t="str">
        <x:v>Not demonstrated</x:v>
      </x:c>
      <x:c r="N125" s="5" t="str">
        <x:v>Not demonstrated</x:v>
      </x:c>
      <x:c r="O125" s="5" t="str">
        <x:v>Approved guide plus independent walkthrough on the exact released product. Verify: Document addressed threats.</x:v>
      </x:c>
      <x:c r="P125" s="10" t="str"/>
      <x:c r="Q125" s="10" t="str">
        <x:v>Open</x:v>
      </x:c>
      <x:c r="R125" s="10" t="str"/>
      <x:c r="S125" s="10" t="str"/>
      <x:c r="T125" s="10" t="str"/>
      <x:c r="U125" s="5" t="str">
        <x:f>IF(Q125="Closed",IF(AND(R125&lt;&gt;"",S125&lt;&gt;""),"Closed recorded","Missing evidence/reviewer"),IF(Q125="N/A approved",IF(AND(T125&lt;&gt;"",S125&lt;&gt;""),"N/A recorded","Missing applicability approval"),"Open"))</x:f>
        <x:v>Open</x:v>
      </x:c>
      <x:c r="V125" s="5" t="str">
        <x:v>Normativa/IEC 62443-4-1 2018.pdf</x:v>
      </x:c>
      <x:c r="W125" s="5" t="str"/>
    </x:row>
    <x:row r="126" ht="36" customHeight="1">
      <x:c r="A126" s="5" t="str">
        <x:v>SDL-SG-1-03</x:v>
      </x:c>
      <x:c r="B126" s="5" t="str">
        <x:v>SG-1</x:v>
      </x:c>
      <x:c r="C126" s="5" t="str">
        <x:v>Product security guide</x:v>
      </x:c>
      <x:c r="D126" s="5" t="str">
        <x:v>Document user mitigations for known risks including legacy-code risks</x:v>
      </x:c>
      <x:c r="E126" s="5" t="str">
        <x:v>Mandatory</x:v>
      </x:c>
      <x:c r="F126" s="5" t="str">
        <x:v>In-scope product</x:v>
      </x:c>
      <x:c r="G126" s="5" t="str"/>
      <x:c r="H126" s="5" t="str">
        <x:v>12.2.1</x:v>
      </x:c>
      <x:c r="I126" s="5" t="str">
        <x:v>46-47</x:v>
      </x:c>
      <x:c r="J126" s="5" t="str">
        <x:v>44,45</x:v>
      </x:c>
      <x:c r="K126" s="5" t="str">
        <x:v>Controlled product installation, hardening, operation, account, update and disposal manuals; current repository runbooks are evidence seeds</x:v>
      </x:c>
      <x:c r="L126" s="5" t="str">
        <x:v>HiTEKS documentation/security lead</x:v>
      </x:c>
      <x:c r="M126" s="5" t="str">
        <x:v>Not demonstrated</x:v>
      </x:c>
      <x:c r="N126" s="5" t="str">
        <x:v>Not demonstrated</x:v>
      </x:c>
      <x:c r="O126" s="5" t="str">
        <x:v>Approved guide plus independent walkthrough on the exact released product. Verify: Document user mitigations for known risks including legacy-code risks.</x:v>
      </x:c>
      <x:c r="P126" s="10" t="str"/>
      <x:c r="Q126" s="10" t="str">
        <x:v>Open</x:v>
      </x:c>
      <x:c r="R126" s="10" t="str"/>
      <x:c r="S126" s="10" t="str"/>
      <x:c r="T126" s="10" t="str"/>
      <x:c r="U126" s="5" t="str">
        <x:f>IF(Q126="Closed",IF(AND(R126&lt;&gt;"",S126&lt;&gt;""),"Closed recorded","Missing evidence/reviewer"),IF(Q126="N/A approved",IF(AND(T126&lt;&gt;"",S126&lt;&gt;""),"N/A recorded","Missing applicability approval"),"Open"))</x:f>
        <x:v>Open</x:v>
      </x:c>
      <x:c r="V126" s="5" t="str">
        <x:v>Normativa/IEC 62443-4-1 2018.pdf</x:v>
      </x:c>
      <x:c r="W126" s="5" t="str"/>
    </x:row>
    <x:row r="127" ht="36" customHeight="1">
      <x:c r="A127" s="5" t="str">
        <x:v>SDL-SG-2-01</x:v>
      </x:c>
      <x:c r="B127" s="5" t="str">
        <x:v>SG-2</x:v>
      </x:c>
      <x:c r="C127" s="5" t="str">
        <x:v>Environment security guide</x:v>
      </x:c>
      <x:c r="D127" s="5" t="str">
        <x:v>Document defensive measures expected from the external deployment environment</x:v>
      </x:c>
      <x:c r="E127" s="5" t="str">
        <x:v>Mandatory</x:v>
      </x:c>
      <x:c r="F127" s="5" t="str">
        <x:v>In-scope product</x:v>
      </x:c>
      <x:c r="G127" s="5" t="str"/>
      <x:c r="H127" s="5" t="str">
        <x:v>12.3.1</x:v>
      </x:c>
      <x:c r="I127" s="5" t="str">
        <x:v>47</x:v>
      </x:c>
      <x:c r="J127" s="5" t="str">
        <x:v>45</x:v>
      </x:c>
      <x:c r="K127" s="5" t="str">
        <x:v>Controlled product installation, hardening, operation, account, update and disposal manuals; current repository runbooks are evidence seeds</x:v>
      </x:c>
      <x:c r="L127" s="5" t="str">
        <x:v>HiTEKS documentation/security lead</x:v>
      </x:c>
      <x:c r="M127" s="5" t="str">
        <x:v>Not demonstrated</x:v>
      </x:c>
      <x:c r="N127" s="5" t="str">
        <x:v>Not demonstrated</x:v>
      </x:c>
      <x:c r="O127" s="5" t="str">
        <x:v>Approved guide plus independent walkthrough on the exact released product. Verify: Document defensive measures expected from the external deployment environment.</x:v>
      </x:c>
      <x:c r="P127" s="10" t="str"/>
      <x:c r="Q127" s="10" t="str">
        <x:v>Open</x:v>
      </x:c>
      <x:c r="R127" s="10" t="str"/>
      <x:c r="S127" s="10" t="str"/>
      <x:c r="T127" s="10" t="str"/>
      <x:c r="U127" s="5" t="str">
        <x:f>IF(Q127="Closed",IF(AND(R127&lt;&gt;"",S127&lt;&gt;""),"Closed recorded","Missing evidence/reviewer"),IF(Q127="N/A approved",IF(AND(T127&lt;&gt;"",S127&lt;&gt;""),"N/A recorded","Missing applicability approval"),"Open"))</x:f>
        <x:v>Open</x:v>
      </x:c>
      <x:c r="V127" s="5" t="str">
        <x:v>Normativa/IEC 62443-4-1 2018.pdf</x:v>
      </x:c>
      <x:c r="W127" s="5" t="str"/>
    </x:row>
    <x:row r="128" ht="36" customHeight="1">
      <x:c r="A128" s="5" t="str">
        <x:v>SDL-SG-3-01</x:v>
      </x:c>
      <x:c r="B128" s="5" t="str">
        <x:v>SG-3</x:v>
      </x:c>
      <x:c r="C128" s="5" t="str">
        <x:v>Hardening guide</x:v>
      </x:c>
      <x:c r="D128" s="5" t="str">
        <x:v>Explain integration of product and dependencies with its security context</x:v>
      </x:c>
      <x:c r="E128" s="5" t="str">
        <x:v>Mandatory</x:v>
      </x:c>
      <x:c r="F128" s="5" t="str">
        <x:v>In-scope product</x:v>
      </x:c>
      <x:c r="G128" s="5" t="str"/>
      <x:c r="H128" s="5" t="str">
        <x:v>12.4.1</x:v>
      </x:c>
      <x:c r="I128" s="5" t="str">
        <x:v>47-48</x:v>
      </x:c>
      <x:c r="J128" s="5" t="str">
        <x:v>45,46</x:v>
      </x:c>
      <x:c r="K128" s="5" t="str">
        <x:v>Controlled product installation, hardening, operation, account, update and disposal manuals; current repository runbooks are evidence seeds</x:v>
      </x:c>
      <x:c r="L128" s="5" t="str">
        <x:v>HiTEKS documentation/security lead</x:v>
      </x:c>
      <x:c r="M128" s="5" t="str">
        <x:v>Not demonstrated</x:v>
      </x:c>
      <x:c r="N128" s="5" t="str">
        <x:v>Not demonstrated</x:v>
      </x:c>
      <x:c r="O128" s="5" t="str">
        <x:v>Approved guide plus independent walkthrough on the exact released product. Verify: Explain integration of product and dependencies with its security context.</x:v>
      </x:c>
      <x:c r="P128" s="10" t="str"/>
      <x:c r="Q128" s="10" t="str">
        <x:v>Open</x:v>
      </x:c>
      <x:c r="R128" s="10" t="str"/>
      <x:c r="S128" s="10" t="str"/>
      <x:c r="T128" s="10" t="str"/>
      <x:c r="U128" s="5" t="str">
        <x:f>IF(Q128="Closed",IF(AND(R128&lt;&gt;"",S128&lt;&gt;""),"Closed recorded","Missing evidence/reviewer"),IF(Q128="N/A approved",IF(AND(T128&lt;&gt;"",S128&lt;&gt;""),"N/A recorded","Missing applicability approval"),"Open"))</x:f>
        <x:v>Open</x:v>
      </x:c>
      <x:c r="V128" s="5" t="str">
        <x:v>Normativa/IEC 62443-4-1 2018.pdf</x:v>
      </x:c>
      <x:c r="W128" s="5" t="str"/>
    </x:row>
    <x:row r="129" ht="36" customHeight="1">
      <x:c r="A129" s="5" t="str">
        <x:v>SDL-SG-3-02</x:v>
      </x:c>
      <x:c r="B129" s="5" t="str">
        <x:v>SG-3</x:v>
      </x:c>
      <x:c r="C129" s="5" t="str">
        <x:v>Hardening guide</x:v>
      </x:c>
      <x:c r="D129" s="5" t="str">
        <x:v>Explain integration of APIs/protocols with user applications</x:v>
      </x:c>
      <x:c r="E129" s="5" t="str">
        <x:v>Mandatory</x:v>
      </x:c>
      <x:c r="F129" s="5" t="str">
        <x:v>In-scope product</x:v>
      </x:c>
      <x:c r="G129" s="5" t="str"/>
      <x:c r="H129" s="5" t="str">
        <x:v>12.4.1</x:v>
      </x:c>
      <x:c r="I129" s="5" t="str">
        <x:v>47-48</x:v>
      </x:c>
      <x:c r="J129" s="5" t="str">
        <x:v>45,46</x:v>
      </x:c>
      <x:c r="K129" s="5" t="str">
        <x:v>Controlled product installation, hardening, operation, account, update and disposal manuals; current repository runbooks are evidence seeds</x:v>
      </x:c>
      <x:c r="L129" s="5" t="str">
        <x:v>HiTEKS documentation/security lead</x:v>
      </x:c>
      <x:c r="M129" s="5" t="str">
        <x:v>Not demonstrated</x:v>
      </x:c>
      <x:c r="N129" s="5" t="str">
        <x:v>Not demonstrated</x:v>
      </x:c>
      <x:c r="O129" s="5" t="str">
        <x:v>Approved guide plus independent walkthrough on the exact released product. Verify: Explain integration of APIs/protocols with user applications.</x:v>
      </x:c>
      <x:c r="P129" s="10" t="str"/>
      <x:c r="Q129" s="10" t="str">
        <x:v>Open</x:v>
      </x:c>
      <x:c r="R129" s="10" t="str"/>
      <x:c r="S129" s="10" t="str"/>
      <x:c r="T129" s="10" t="str"/>
      <x:c r="U129" s="5" t="str">
        <x:f>IF(Q129="Closed",IF(AND(R129&lt;&gt;"",S129&lt;&gt;""),"Closed recorded","Missing evidence/reviewer"),IF(Q129="N/A approved",IF(AND(T129&lt;&gt;"",S129&lt;&gt;""),"N/A recorded","Missing applicability approval"),"Open"))</x:f>
        <x:v>Open</x:v>
      </x:c>
      <x:c r="V129" s="5" t="str">
        <x:v>Normativa/IEC 62443-4-1 2018.pdf</x:v>
      </x:c>
      <x:c r="W129" s="5" t="str"/>
    </x:row>
    <x:row r="130" ht="36" customHeight="1">
      <x:c r="A130" s="5" t="str">
        <x:v>SDL-SG-3-03</x:v>
      </x:c>
      <x:c r="B130" s="5" t="str">
        <x:v>SG-3</x:v>
      </x:c>
      <x:c r="C130" s="5" t="str">
        <x:v>Hardening guide</x:v>
      </x:c>
      <x:c r="D130" s="5" t="str">
        <x:v>Explain applying and maintaining defense in depth</x:v>
      </x:c>
      <x:c r="E130" s="5" t="str">
        <x:v>Mandatory</x:v>
      </x:c>
      <x:c r="F130" s="5" t="str">
        <x:v>In-scope product</x:v>
      </x:c>
      <x:c r="G130" s="5" t="str"/>
      <x:c r="H130" s="5" t="str">
        <x:v>12.4.1</x:v>
      </x:c>
      <x:c r="I130" s="5" t="str">
        <x:v>47-48</x:v>
      </x:c>
      <x:c r="J130" s="5" t="str">
        <x:v>45,46</x:v>
      </x:c>
      <x:c r="K130" s="5" t="str">
        <x:v>Controlled product installation, hardening, operation, account, update and disposal manuals; current repository runbooks are evidence seeds</x:v>
      </x:c>
      <x:c r="L130" s="5" t="str">
        <x:v>HiTEKS documentation/security lead</x:v>
      </x:c>
      <x:c r="M130" s="5" t="str">
        <x:v>Not demonstrated</x:v>
      </x:c>
      <x:c r="N130" s="5" t="str">
        <x:v>Not demonstrated</x:v>
      </x:c>
      <x:c r="O130" s="5" t="str">
        <x:v>Approved guide plus independent walkthrough on the exact released product. Verify: Explain applying and maintaining defense in depth.</x:v>
      </x:c>
      <x:c r="P130" s="10" t="str"/>
      <x:c r="Q130" s="10" t="str">
        <x:v>Open</x:v>
      </x:c>
      <x:c r="R130" s="10" t="str"/>
      <x:c r="S130" s="10" t="str"/>
      <x:c r="T130" s="10" t="str"/>
      <x:c r="U130" s="5" t="str">
        <x:f>IF(Q130="Closed",IF(AND(R130&lt;&gt;"",S130&lt;&gt;""),"Closed recorded","Missing evidence/reviewer"),IF(Q130="N/A approved",IF(AND(T130&lt;&gt;"",S130&lt;&gt;""),"N/A recorded","Missing applicability approval"),"Open"))</x:f>
        <x:v>Open</x:v>
      </x:c>
      <x:c r="V130" s="5" t="str">
        <x:v>Normativa/IEC 62443-4-1 2018.pdf</x:v>
      </x:c>
      <x:c r="W130" s="5" t="str"/>
    </x:row>
    <x:row r="131" ht="36" customHeight="1">
      <x:c r="A131" s="5" t="str">
        <x:v>SDL-SG-3-04</x:v>
      </x:c>
      <x:c r="B131" s="5" t="str">
        <x:v>SG-3</x:v>
      </x:c>
      <x:c r="C131" s="5" t="str">
        <x:v>Hardening guide</x:v>
      </x:c>
      <x:c r="D131" s="5" t="str">
        <x:v>Explain each security setting, defaults, allowed values, security effects and operational effects</x:v>
      </x:c>
      <x:c r="E131" s="5" t="str">
        <x:v>Mandatory</x:v>
      </x:c>
      <x:c r="F131" s="5" t="str">
        <x:v>In-scope product</x:v>
      </x:c>
      <x:c r="G131" s="5" t="str"/>
      <x:c r="H131" s="5" t="str">
        <x:v>12.4.1</x:v>
      </x:c>
      <x:c r="I131" s="5" t="str">
        <x:v>47-48</x:v>
      </x:c>
      <x:c r="J131" s="5" t="str">
        <x:v>45,46</x:v>
      </x:c>
      <x:c r="K131" s="5" t="str">
        <x:v>Controlled product installation, hardening, operation, account, update and disposal manuals; current repository runbooks are evidence seeds</x:v>
      </x:c>
      <x:c r="L131" s="5" t="str">
        <x:v>HiTEKS documentation/security lead</x:v>
      </x:c>
      <x:c r="M131" s="5" t="str">
        <x:v>Not demonstrated</x:v>
      </x:c>
      <x:c r="N131" s="5" t="str">
        <x:v>Not demonstrated</x:v>
      </x:c>
      <x:c r="O131" s="5" t="str">
        <x:v>Approved guide plus independent walkthrough on the exact released product. Verify: Explain each security setting, defaults, allowed values, security effects and operational effects.</x:v>
      </x:c>
      <x:c r="P131" s="10" t="str"/>
      <x:c r="Q131" s="10" t="str">
        <x:v>Open</x:v>
      </x:c>
      <x:c r="R131" s="10" t="str"/>
      <x:c r="S131" s="10" t="str"/>
      <x:c r="T131" s="10" t="str"/>
      <x:c r="U131" s="5" t="str">
        <x:f>IF(Q131="Closed",IF(AND(R131&lt;&gt;"",S131&lt;&gt;""),"Closed recorded","Missing evidence/reviewer"),IF(Q131="N/A approved",IF(AND(T131&lt;&gt;"",S131&lt;&gt;""),"N/A recorded","Missing applicability approval"),"Open"))</x:f>
        <x:v>Open</x:v>
      </x:c>
      <x:c r="V131" s="5" t="str">
        <x:v>Normativa/IEC 62443-4-1 2018.pdf</x:v>
      </x:c>
      <x:c r="W131" s="5" t="str"/>
    </x:row>
    <x:row r="132" ht="36" customHeight="1">
      <x:c r="A132" s="5" t="str">
        <x:v>SDL-SG-3-05</x:v>
      </x:c>
      <x:c r="B132" s="5" t="str">
        <x:v>SG-3</x:v>
      </x:c>
      <x:c r="C132" s="5" t="str">
        <x:v>Hardening guide</x:v>
      </x:c>
      <x:c r="D132" s="5" t="str">
        <x:v>Explain setting, changing and deleting each security-option value</x:v>
      </x:c>
      <x:c r="E132" s="5" t="str">
        <x:v>Mandatory</x:v>
      </x:c>
      <x:c r="F132" s="5" t="str">
        <x:v>In-scope product</x:v>
      </x:c>
      <x:c r="G132" s="5" t="str"/>
      <x:c r="H132" s="5" t="str">
        <x:v>12.4.1</x:v>
      </x:c>
      <x:c r="I132" s="5" t="str">
        <x:v>47-48</x:v>
      </x:c>
      <x:c r="J132" s="5" t="str">
        <x:v>45,46</x:v>
      </x:c>
      <x:c r="K132" s="5" t="str">
        <x:v>Controlled product installation, hardening, operation, account, update and disposal manuals; current repository runbooks are evidence seeds</x:v>
      </x:c>
      <x:c r="L132" s="5" t="str">
        <x:v>HiTEKS documentation/security lead</x:v>
      </x:c>
      <x:c r="M132" s="5" t="str">
        <x:v>Not demonstrated</x:v>
      </x:c>
      <x:c r="N132" s="5" t="str">
        <x:v>Not demonstrated</x:v>
      </x:c>
      <x:c r="O132" s="5" t="str">
        <x:v>Approved guide plus independent walkthrough on the exact released product. Verify: Explain setting, changing and deleting each security-option value.</x:v>
      </x:c>
      <x:c r="P132" s="10" t="str"/>
      <x:c r="Q132" s="10" t="str">
        <x:v>Open</x:v>
      </x:c>
      <x:c r="R132" s="10" t="str"/>
      <x:c r="S132" s="10" t="str"/>
      <x:c r="T132" s="10" t="str"/>
      <x:c r="U132" s="5" t="str">
        <x:f>IF(Q132="Closed",IF(AND(R132&lt;&gt;"",S132&lt;&gt;""),"Closed recorded","Missing evidence/reviewer"),IF(Q132="N/A approved",IF(AND(T132&lt;&gt;"",S132&lt;&gt;""),"N/A recorded","Missing applicability approval"),"Open"))</x:f>
        <x:v>Open</x:v>
      </x:c>
      <x:c r="V132" s="5" t="str">
        <x:v>Normativa/IEC 62443-4-1 2018.pdf</x:v>
      </x:c>
      <x:c r="W132" s="5" t="str"/>
    </x:row>
    <x:row r="133" ht="36" customHeight="1">
      <x:c r="A133" s="5" t="str">
        <x:v>SDL-SG-3-06</x:v>
      </x:c>
      <x:c r="B133" s="5" t="str">
        <x:v>SG-3</x:v>
      </x:c>
      <x:c r="C133" s="5" t="str">
        <x:v>Hardening guide</x:v>
      </x:c>
      <x:c r="D133" s="5" t="str">
        <x:v>Document security tools/utilities for administration, monitoring, incident handling and evaluation</x:v>
      </x:c>
      <x:c r="E133" s="5" t="str">
        <x:v>Mandatory</x:v>
      </x:c>
      <x:c r="F133" s="5" t="str">
        <x:v>In-scope product</x:v>
      </x:c>
      <x:c r="G133" s="5" t="str"/>
      <x:c r="H133" s="5" t="str">
        <x:v>12.4.1</x:v>
      </x:c>
      <x:c r="I133" s="5" t="str">
        <x:v>47-48</x:v>
      </x:c>
      <x:c r="J133" s="5" t="str">
        <x:v>45,46</x:v>
      </x:c>
      <x:c r="K133" s="5" t="str">
        <x:v>Controlled product installation, hardening, operation, account, update and disposal manuals; current repository runbooks are evidence seeds</x:v>
      </x:c>
      <x:c r="L133" s="5" t="str">
        <x:v>HiTEKS documentation/security lead</x:v>
      </x:c>
      <x:c r="M133" s="5" t="str">
        <x:v>Not demonstrated</x:v>
      </x:c>
      <x:c r="N133" s="5" t="str">
        <x:v>Not demonstrated</x:v>
      </x:c>
      <x:c r="O133" s="5" t="str">
        <x:v>Approved guide plus independent walkthrough on the exact released product. Verify: Document security tools/utilities for administration, monitoring, incident handling and evaluation.</x:v>
      </x:c>
      <x:c r="P133" s="10" t="str"/>
      <x:c r="Q133" s="10" t="str">
        <x:v>Open</x:v>
      </x:c>
      <x:c r="R133" s="10" t="str"/>
      <x:c r="S133" s="10" t="str"/>
      <x:c r="T133" s="10" t="str"/>
      <x:c r="U133" s="5" t="str">
        <x:f>IF(Q133="Closed",IF(AND(R133&lt;&gt;"",S133&lt;&gt;""),"Closed recorded","Missing evidence/reviewer"),IF(Q133="N/A approved",IF(AND(T133&lt;&gt;"",S133&lt;&gt;""),"N/A recorded","Missing applicability approval"),"Open"))</x:f>
        <x:v>Open</x:v>
      </x:c>
      <x:c r="V133" s="5" t="str">
        <x:v>Normativa/IEC 62443-4-1 2018.pdf</x:v>
      </x:c>
      <x:c r="W133" s="5" t="str"/>
    </x:row>
    <x:row r="134" ht="36" customHeight="1">
      <x:c r="A134" s="5" t="str">
        <x:v>SDL-SG-3-07</x:v>
      </x:c>
      <x:c r="B134" s="5" t="str">
        <x:v>SG-3</x:v>
      </x:c>
      <x:c r="C134" s="5" t="str">
        <x:v>Hardening guide</x:v>
      </x:c>
      <x:c r="D134" s="5" t="str">
        <x:v>Document periodic security maintenance</x:v>
      </x:c>
      <x:c r="E134" s="5" t="str">
        <x:v>Mandatory</x:v>
      </x:c>
      <x:c r="F134" s="5" t="str">
        <x:v>In-scope product</x:v>
      </x:c>
      <x:c r="G134" s="5" t="str"/>
      <x:c r="H134" s="5" t="str">
        <x:v>12.4.1</x:v>
      </x:c>
      <x:c r="I134" s="5" t="str">
        <x:v>47-48</x:v>
      </x:c>
      <x:c r="J134" s="5" t="str">
        <x:v>45,46</x:v>
      </x:c>
      <x:c r="K134" s="5" t="str">
        <x:v>Controlled product installation, hardening, operation, account, update and disposal manuals; current repository runbooks are evidence seeds</x:v>
      </x:c>
      <x:c r="L134" s="5" t="str">
        <x:v>HiTEKS documentation/security lead</x:v>
      </x:c>
      <x:c r="M134" s="5" t="str">
        <x:v>Not demonstrated</x:v>
      </x:c>
      <x:c r="N134" s="5" t="str">
        <x:v>Not demonstrated</x:v>
      </x:c>
      <x:c r="O134" s="5" t="str">
        <x:v>Approved guide plus independent walkthrough on the exact released product. Verify: Document periodic security maintenance.</x:v>
      </x:c>
      <x:c r="P134" s="10" t="str"/>
      <x:c r="Q134" s="10" t="str">
        <x:v>Open</x:v>
      </x:c>
      <x:c r="R134" s="10" t="str"/>
      <x:c r="S134" s="10" t="str"/>
      <x:c r="T134" s="10" t="str"/>
      <x:c r="U134" s="5" t="str">
        <x:f>IF(Q134="Closed",IF(AND(R134&lt;&gt;"",S134&lt;&gt;""),"Closed recorded","Missing evidence/reviewer"),IF(Q134="N/A approved",IF(AND(T134&lt;&gt;"",S134&lt;&gt;""),"N/A recorded","Missing applicability approval"),"Open"))</x:f>
        <x:v>Open</x:v>
      </x:c>
      <x:c r="V134" s="5" t="str">
        <x:v>Normativa/IEC 62443-4-1 2018.pdf</x:v>
      </x:c>
      <x:c r="W134" s="5" t="str"/>
    </x:row>
    <x:row r="135" ht="36" customHeight="1">
      <x:c r="A135" s="5" t="str">
        <x:v>SDL-SG-3-08</x:v>
      </x:c>
      <x:c r="B135" s="5" t="str">
        <x:v>SG-3</x:v>
      </x:c>
      <x:c r="C135" s="5" t="str">
        <x:v>Hardening guide</x:v>
      </x:c>
      <x:c r="D135" s="5" t="str">
        <x:v>Explain reporting product security incidents to the supplier</x:v>
      </x:c>
      <x:c r="E135" s="5" t="str">
        <x:v>Mandatory</x:v>
      </x:c>
      <x:c r="F135" s="5" t="str">
        <x:v>In-scope product</x:v>
      </x:c>
      <x:c r="G135" s="5" t="str"/>
      <x:c r="H135" s="5" t="str">
        <x:v>12.4.1</x:v>
      </x:c>
      <x:c r="I135" s="5" t="str">
        <x:v>47-48</x:v>
      </x:c>
      <x:c r="J135" s="5" t="str">
        <x:v>45,46</x:v>
      </x:c>
      <x:c r="K135" s="5" t="str">
        <x:v>Controlled product installation, hardening, operation, account, update and disposal manuals; current repository runbooks are evidence seeds</x:v>
      </x:c>
      <x:c r="L135" s="5" t="str">
        <x:v>HiTEKS documentation/security lead</x:v>
      </x:c>
      <x:c r="M135" s="5" t="str">
        <x:v>Not demonstrated</x:v>
      </x:c>
      <x:c r="N135" s="5" t="str">
        <x:v>Not demonstrated</x:v>
      </x:c>
      <x:c r="O135" s="5" t="str">
        <x:v>Approved guide plus independent walkthrough on the exact released product. Verify: Explain reporting product security incidents to the supplier.</x:v>
      </x:c>
      <x:c r="P135" s="10" t="str"/>
      <x:c r="Q135" s="10" t="str">
        <x:v>Open</x:v>
      </x:c>
      <x:c r="R135" s="10" t="str"/>
      <x:c r="S135" s="10" t="str"/>
      <x:c r="T135" s="10" t="str"/>
      <x:c r="U135" s="5" t="str">
        <x:f>IF(Q135="Closed",IF(AND(R135&lt;&gt;"",S135&lt;&gt;""),"Closed recorded","Missing evidence/reviewer"),IF(Q135="N/A approved",IF(AND(T135&lt;&gt;"",S135&lt;&gt;""),"N/A recorded","Missing applicability approval"),"Open"))</x:f>
        <x:v>Open</x:v>
      </x:c>
      <x:c r="V135" s="5" t="str">
        <x:v>Normativa/IEC 62443-4-1 2018.pdf</x:v>
      </x:c>
      <x:c r="W135" s="5" t="str"/>
    </x:row>
    <x:row r="136" ht="36" customHeight="1">
      <x:c r="A136" s="5" t="str">
        <x:v>SDL-SG-3-09</x:v>
      </x:c>
      <x:c r="B136" s="5" t="str">
        <x:v>SG-3</x:v>
      </x:c>
      <x:c r="C136" s="5" t="str">
        <x:v>Hardening guide</x:v>
      </x:c>
      <x:c r="D136" s="5" t="str">
        <x:v>Document secure maintenance/administration practices</x:v>
      </x:c>
      <x:c r="E136" s="5" t="str">
        <x:v>Mandatory</x:v>
      </x:c>
      <x:c r="F136" s="5" t="str">
        <x:v>In-scope product</x:v>
      </x:c>
      <x:c r="G136" s="5" t="str"/>
      <x:c r="H136" s="5" t="str">
        <x:v>12.4.1</x:v>
      </x:c>
      <x:c r="I136" s="5" t="str">
        <x:v>47-48</x:v>
      </x:c>
      <x:c r="J136" s="5" t="str">
        <x:v>45,46</x:v>
      </x:c>
      <x:c r="K136" s="5" t="str">
        <x:v>Controlled product installation, hardening, operation, account, update and disposal manuals; current repository runbooks are evidence seeds</x:v>
      </x:c>
      <x:c r="L136" s="5" t="str">
        <x:v>HiTEKS documentation/security lead</x:v>
      </x:c>
      <x:c r="M136" s="5" t="str">
        <x:v>Not demonstrated</x:v>
      </x:c>
      <x:c r="N136" s="5" t="str">
        <x:v>Not demonstrated</x:v>
      </x:c>
      <x:c r="O136" s="5" t="str">
        <x:v>Approved guide plus independent walkthrough on the exact released product. Verify: Document secure maintenance/administration practices.</x:v>
      </x:c>
      <x:c r="P136" s="10" t="str"/>
      <x:c r="Q136" s="10" t="str">
        <x:v>Open</x:v>
      </x:c>
      <x:c r="R136" s="10" t="str"/>
      <x:c r="S136" s="10" t="str"/>
      <x:c r="T136" s="10" t="str"/>
      <x:c r="U136" s="5" t="str">
        <x:f>IF(Q136="Closed",IF(AND(R136&lt;&gt;"",S136&lt;&gt;""),"Closed recorded","Missing evidence/reviewer"),IF(Q136="N/A approved",IF(AND(T136&lt;&gt;"",S136&lt;&gt;""),"N/A recorded","Missing applicability approval"),"Open"))</x:f>
        <x:v>Open</x:v>
      </x:c>
      <x:c r="V136" s="5" t="str">
        <x:v>Normativa/IEC 62443-4-1 2018.pdf</x:v>
      </x:c>
      <x:c r="W136" s="5" t="str"/>
    </x:row>
    <x:row r="137" ht="36" customHeight="1">
      <x:c r="A137" s="5" t="str">
        <x:v>SDL-SG-4-01</x:v>
      </x:c>
      <x:c r="B137" s="5" t="str">
        <x:v>SG-4</x:v>
      </x:c>
      <x:c r="C137" s="5" t="str">
        <x:v>Disposal guide</x:v>
      </x:c>
      <x:c r="D137" s="5" t="str">
        <x:v>Explain removal from deployment and cleanup of references/configuration in that environment</x:v>
      </x:c>
      <x:c r="E137" s="5" t="str">
        <x:v>Mandatory</x:v>
      </x:c>
      <x:c r="F137" s="5" t="str">
        <x:v>In-scope product</x:v>
      </x:c>
      <x:c r="G137" s="5" t="str"/>
      <x:c r="H137" s="5" t="str">
        <x:v>12.5.1</x:v>
      </x:c>
      <x:c r="I137" s="5" t="str">
        <x:v>48</x:v>
      </x:c>
      <x:c r="J137" s="5" t="str">
        <x:v>46</x:v>
      </x:c>
      <x:c r="K137" s="5" t="str">
        <x:v>Controlled product installation, hardening, operation, account, update and disposal manuals; current repository runbooks are evidence seeds</x:v>
      </x:c>
      <x:c r="L137" s="5" t="str">
        <x:v>HiTEKS documentation/security lead</x:v>
      </x:c>
      <x:c r="M137" s="5" t="str">
        <x:v>Not demonstrated</x:v>
      </x:c>
      <x:c r="N137" s="5" t="str">
        <x:v>Not demonstrated</x:v>
      </x:c>
      <x:c r="O137" s="5" t="str">
        <x:v>Approved guide plus independent walkthrough on the exact released product. Verify: Explain removal from deployment and cleanup of references/configuration in that environment.</x:v>
      </x:c>
      <x:c r="P137" s="10" t="str"/>
      <x:c r="Q137" s="10" t="str">
        <x:v>Open</x:v>
      </x:c>
      <x:c r="R137" s="10" t="str"/>
      <x:c r="S137" s="10" t="str"/>
      <x:c r="T137" s="10" t="str"/>
      <x:c r="U137" s="5" t="str">
        <x:f>IF(Q137="Closed",IF(AND(R137&lt;&gt;"",S137&lt;&gt;""),"Closed recorded","Missing evidence/reviewer"),IF(Q137="N/A approved",IF(AND(T137&lt;&gt;"",S137&lt;&gt;""),"N/A recorded","Missing applicability approval"),"Open"))</x:f>
        <x:v>Open</x:v>
      </x:c>
      <x:c r="V137" s="5" t="str">
        <x:v>Normativa/IEC 62443-4-1 2018.pdf</x:v>
      </x:c>
      <x:c r="W137" s="5" t="str"/>
    </x:row>
    <x:row r="138" ht="36" customHeight="1">
      <x:c r="A138" s="5" t="str">
        <x:v>SDL-SG-4-02</x:v>
      </x:c>
      <x:c r="B138" s="5" t="str">
        <x:v>SG-4</x:v>
      </x:c>
      <x:c r="C138" s="5" t="str">
        <x:v>Disposal guide</x:v>
      </x:c>
      <x:c r="D138" s="5" t="str">
        <x:v>Explain secure deletion of stored data</x:v>
      </x:c>
      <x:c r="E138" s="5" t="str">
        <x:v>Mandatory</x:v>
      </x:c>
      <x:c r="F138" s="5" t="str">
        <x:v>In-scope product</x:v>
      </x:c>
      <x:c r="G138" s="5" t="str"/>
      <x:c r="H138" s="5" t="str">
        <x:v>12.5.1</x:v>
      </x:c>
      <x:c r="I138" s="5" t="str">
        <x:v>48</x:v>
      </x:c>
      <x:c r="J138" s="5" t="str">
        <x:v>46</x:v>
      </x:c>
      <x:c r="K138" s="5" t="str">
        <x:v>Controlled product installation, hardening, operation, account, update and disposal manuals; current repository runbooks are evidence seeds</x:v>
      </x:c>
      <x:c r="L138" s="5" t="str">
        <x:v>HiTEKS documentation/security lead</x:v>
      </x:c>
      <x:c r="M138" s="5" t="str">
        <x:v>Not demonstrated</x:v>
      </x:c>
      <x:c r="N138" s="5" t="str">
        <x:v>Not demonstrated</x:v>
      </x:c>
      <x:c r="O138" s="5" t="str">
        <x:v>Approved guide plus independent walkthrough on the exact released product. Verify: Explain secure deletion of stored data.</x:v>
      </x:c>
      <x:c r="P138" s="10" t="str"/>
      <x:c r="Q138" s="10" t="str">
        <x:v>Open</x:v>
      </x:c>
      <x:c r="R138" s="10" t="str"/>
      <x:c r="S138" s="10" t="str"/>
      <x:c r="T138" s="10" t="str"/>
      <x:c r="U138" s="5" t="str">
        <x:f>IF(Q138="Closed",IF(AND(R138&lt;&gt;"",S138&lt;&gt;""),"Closed recorded","Missing evidence/reviewer"),IF(Q138="N/A approved",IF(AND(T138&lt;&gt;"",S138&lt;&gt;""),"N/A recorded","Missing applicability approval"),"Open"))</x:f>
        <x:v>Open</x:v>
      </x:c>
      <x:c r="V138" s="5" t="str">
        <x:v>Normativa/IEC 62443-4-1 2018.pdf</x:v>
      </x:c>
      <x:c r="W138" s="5" t="str"/>
    </x:row>
    <x:row r="139" ht="36" customHeight="1">
      <x:c r="A139" s="5" t="str">
        <x:v>SDL-SG-4-03</x:v>
      </x:c>
      <x:c r="B139" s="5" t="str">
        <x:v>SG-4</x:v>
      </x:c>
      <x:c r="C139" s="5" t="str">
        <x:v>Disposal guide</x:v>
      </x:c>
      <x:c r="D139" s="5" t="str">
        <x:v>Explain secure physical disposal where data cannot be erased</x:v>
      </x:c>
      <x:c r="E139" s="5" t="str">
        <x:v>Mandatory</x:v>
      </x:c>
      <x:c r="F139" s="5" t="str">
        <x:v>In-scope product</x:v>
      </x:c>
      <x:c r="G139" s="5" t="str"/>
      <x:c r="H139" s="5" t="str">
        <x:v>12.5.1</x:v>
      </x:c>
      <x:c r="I139" s="5" t="str">
        <x:v>48</x:v>
      </x:c>
      <x:c r="J139" s="5" t="str">
        <x:v>46</x:v>
      </x:c>
      <x:c r="K139" s="5" t="str">
        <x:v>Controlled product installation, hardening, operation, account, update and disposal manuals; current repository runbooks are evidence seeds</x:v>
      </x:c>
      <x:c r="L139" s="5" t="str">
        <x:v>HiTEKS documentation/security lead</x:v>
      </x:c>
      <x:c r="M139" s="5" t="str">
        <x:v>Not demonstrated</x:v>
      </x:c>
      <x:c r="N139" s="5" t="str">
        <x:v>Not demonstrated</x:v>
      </x:c>
      <x:c r="O139" s="5" t="str">
        <x:v>Approved guide plus independent walkthrough on the exact released product. Verify: Explain secure physical disposal where data cannot be erased.</x:v>
      </x:c>
      <x:c r="P139" s="10" t="str"/>
      <x:c r="Q139" s="10" t="str">
        <x:v>Open</x:v>
      </x:c>
      <x:c r="R139" s="10" t="str"/>
      <x:c r="S139" s="10" t="str"/>
      <x:c r="T139" s="10" t="str"/>
      <x:c r="U139" s="5" t="str">
        <x:f>IF(Q139="Closed",IF(AND(R139&lt;&gt;"",S139&lt;&gt;""),"Closed recorded","Missing evidence/reviewer"),IF(Q139="N/A approved",IF(AND(T139&lt;&gt;"",S139&lt;&gt;""),"N/A recorded","Missing applicability approval"),"Open"))</x:f>
        <x:v>Open</x:v>
      </x:c>
      <x:c r="V139" s="5" t="str">
        <x:v>Normativa/IEC 62443-4-1 2018.pdf</x:v>
      </x:c>
      <x:c r="W139" s="5" t="str"/>
    </x:row>
    <x:row r="140" ht="36" customHeight="1">
      <x:c r="A140" s="5" t="str">
        <x:v>SDL-SG-5-01</x:v>
      </x:c>
      <x:c r="B140" s="5" t="str">
        <x:v>SG-5</x:v>
      </x:c>
      <x:c r="C140" s="5" t="str">
        <x:v>Secure operation guide</x:v>
      </x:c>
      <x:c r="D140" s="5" t="str">
        <x:v>Document user/administrator responsibilities and required actions</x:v>
      </x:c>
      <x:c r="E140" s="5" t="str">
        <x:v>Mandatory</x:v>
      </x:c>
      <x:c r="F140" s="5" t="str">
        <x:v>In-scope product</x:v>
      </x:c>
      <x:c r="G140" s="5" t="str"/>
      <x:c r="H140" s="5" t="str">
        <x:v>12.6.1</x:v>
      </x:c>
      <x:c r="I140" s="5" t="str">
        <x:v>48</x:v>
      </x:c>
      <x:c r="J140" s="5" t="str">
        <x:v>46</x:v>
      </x:c>
      <x:c r="K140" s="5" t="str">
        <x:v>Controlled product installation, hardening, operation, account, update and disposal manuals; current repository runbooks are evidence seeds</x:v>
      </x:c>
      <x:c r="L140" s="5" t="str">
        <x:v>HiTEKS documentation/security lead</x:v>
      </x:c>
      <x:c r="M140" s="5" t="str">
        <x:v>Not demonstrated</x:v>
      </x:c>
      <x:c r="N140" s="5" t="str">
        <x:v>Not demonstrated</x:v>
      </x:c>
      <x:c r="O140" s="5" t="str">
        <x:v>Approved guide plus independent walkthrough on the exact released product. Verify: Document user/administrator responsibilities and required actions.</x:v>
      </x:c>
      <x:c r="P140" s="10" t="str"/>
      <x:c r="Q140" s="10" t="str">
        <x:v>Open</x:v>
      </x:c>
      <x:c r="R140" s="10" t="str"/>
      <x:c r="S140" s="10" t="str"/>
      <x:c r="T140" s="10" t="str"/>
      <x:c r="U140" s="5" t="str">
        <x:f>IF(Q140="Closed",IF(AND(R140&lt;&gt;"",S140&lt;&gt;""),"Closed recorded","Missing evidence/reviewer"),IF(Q140="N/A approved",IF(AND(T140&lt;&gt;"",S140&lt;&gt;""),"N/A recorded","Missing applicability approval"),"Open"))</x:f>
        <x:v>Open</x:v>
      </x:c>
      <x:c r="V140" s="5" t="str">
        <x:v>Normativa/IEC 62443-4-1 2018.pdf</x:v>
      </x:c>
      <x:c r="W140" s="5" t="str"/>
    </x:row>
    <x:row r="141" ht="36" customHeight="1">
      <x:c r="A141" s="5" t="str">
        <x:v>SDL-SG-5-02</x:v>
      </x:c>
      <x:c r="B141" s="5" t="str">
        <x:v>SG-5</x:v>
      </x:c>
      <x:c r="C141" s="5" t="str">
        <x:v>Secure operation guide</x:v>
      </x:c>
      <x:c r="D141" s="5" t="str">
        <x:v>Document assumptions about user/administrator behavior affecting security</x:v>
      </x:c>
      <x:c r="E141" s="5" t="str">
        <x:v>Mandatory</x:v>
      </x:c>
      <x:c r="F141" s="5" t="str">
        <x:v>In-scope product</x:v>
      </x:c>
      <x:c r="G141" s="5" t="str"/>
      <x:c r="H141" s="5" t="str">
        <x:v>12.6.1</x:v>
      </x:c>
      <x:c r="I141" s="5" t="str">
        <x:v>48</x:v>
      </x:c>
      <x:c r="J141" s="5" t="str">
        <x:v>46</x:v>
      </x:c>
      <x:c r="K141" s="5" t="str">
        <x:v>Controlled product installation, hardening, operation, account, update and disposal manuals; current repository runbooks are evidence seeds</x:v>
      </x:c>
      <x:c r="L141" s="5" t="str">
        <x:v>HiTEKS documentation/security lead</x:v>
      </x:c>
      <x:c r="M141" s="5" t="str">
        <x:v>Not demonstrated</x:v>
      </x:c>
      <x:c r="N141" s="5" t="str">
        <x:v>Not demonstrated</x:v>
      </x:c>
      <x:c r="O141" s="5" t="str">
        <x:v>Approved guide plus independent walkthrough on the exact released product. Verify: Document assumptions about user/administrator behavior affecting security.</x:v>
      </x:c>
      <x:c r="P141" s="10" t="str"/>
      <x:c r="Q141" s="10" t="str">
        <x:v>Open</x:v>
      </x:c>
      <x:c r="R141" s="10" t="str"/>
      <x:c r="S141" s="10" t="str"/>
      <x:c r="T141" s="10" t="str"/>
      <x:c r="U141" s="5" t="str">
        <x:f>IF(Q141="Closed",IF(AND(R141&lt;&gt;"",S141&lt;&gt;""),"Closed recorded","Missing evidence/reviewer"),IF(Q141="N/A approved",IF(AND(T141&lt;&gt;"",S141&lt;&gt;""),"N/A recorded","Missing applicability approval"),"Open"))</x:f>
        <x:v>Open</x:v>
      </x:c>
      <x:c r="V141" s="5" t="str">
        <x:v>Normativa/IEC 62443-4-1 2018.pdf</x:v>
      </x:c>
      <x:c r="W141" s="5" t="str"/>
    </x:row>
    <x:row r="142" ht="36" customHeight="1">
      <x:c r="A142" s="5" t="str">
        <x:v>SDL-SG-6-01</x:v>
      </x:c>
      <x:c r="B142" s="5" t="str">
        <x:v>SG-6</x:v>
      </x:c>
      <x:c r="C142" s="5" t="str">
        <x:v>Account guide</x:v>
      </x:c>
      <x:c r="D142" s="5" t="str">
        <x:v>Document permissions/privileges for OS, control-system, database and other product accounts</x:v>
      </x:c>
      <x:c r="E142" s="5" t="str">
        <x:v>Mandatory</x:v>
      </x:c>
      <x:c r="F142" s="5" t="str">
        <x:v>In-scope product</x:v>
      </x:c>
      <x:c r="G142" s="5" t="str"/>
      <x:c r="H142" s="5" t="str">
        <x:v>12.7.1</x:v>
      </x:c>
      <x:c r="I142" s="5" t="str">
        <x:v>49</x:v>
      </x:c>
      <x:c r="J142" s="5" t="str">
        <x:v>47</x:v>
      </x:c>
      <x:c r="K142" s="5" t="str">
        <x:v>Controlled product installation, hardening, operation, account, update and disposal manuals; current repository runbooks are evidence seeds</x:v>
      </x:c>
      <x:c r="L142" s="5" t="str">
        <x:v>HiTEKS documentation/security lead</x:v>
      </x:c>
      <x:c r="M142" s="5" t="str">
        <x:v>Not demonstrated</x:v>
      </x:c>
      <x:c r="N142" s="5" t="str">
        <x:v>Not demonstrated</x:v>
      </x:c>
      <x:c r="O142" s="5" t="str">
        <x:v>Approved guide plus independent walkthrough on the exact released product. Verify: Document permissions/privileges for OS, control-system, database and other product accounts.</x:v>
      </x:c>
      <x:c r="P142" s="10" t="str"/>
      <x:c r="Q142" s="10" t="str">
        <x:v>Open</x:v>
      </x:c>
      <x:c r="R142" s="10" t="str"/>
      <x:c r="S142" s="10" t="str"/>
      <x:c r="T142" s="10" t="str"/>
      <x:c r="U142" s="5" t="str">
        <x:f>IF(Q142="Closed",IF(AND(R142&lt;&gt;"",S142&lt;&gt;""),"Closed recorded","Missing evidence/reviewer"),IF(Q142="N/A approved",IF(AND(T142&lt;&gt;"",S142&lt;&gt;""),"N/A recorded","Missing applicability approval"),"Open"))</x:f>
        <x:v>Open</x:v>
      </x:c>
      <x:c r="V142" s="5" t="str">
        <x:v>Normativa/IEC 62443-4-1 2018.pdf</x:v>
      </x:c>
      <x:c r="W142" s="5" t="str"/>
    </x:row>
    <x:row r="143" ht="36" customHeight="1">
      <x:c r="A143" s="5" t="str">
        <x:v>SDL-SG-6-02</x:v>
      </x:c>
      <x:c r="B143" s="5" t="str">
        <x:v>SG-6</x:v>
      </x:c>
      <x:c r="C143" s="5" t="str">
        <x:v>Account guide</x:v>
      </x:c>
      <x:c r="D143" s="5" t="str">
        <x:v>Document default/service accounts and how to change default names/passwords</x:v>
      </x:c>
      <x:c r="E143" s="5" t="str">
        <x:v>Mandatory</x:v>
      </x:c>
      <x:c r="F143" s="5" t="str">
        <x:v>In-scope product</x:v>
      </x:c>
      <x:c r="G143" s="5" t="str"/>
      <x:c r="H143" s="5" t="str">
        <x:v>12.7.1</x:v>
      </x:c>
      <x:c r="I143" s="5" t="str">
        <x:v>49</x:v>
      </x:c>
      <x:c r="J143" s="5" t="str">
        <x:v>47</x:v>
      </x:c>
      <x:c r="K143" s="5" t="str">
        <x:v>Controlled product installation, hardening, operation, account, update and disposal manuals; current repository runbooks are evidence seeds</x:v>
      </x:c>
      <x:c r="L143" s="5" t="str">
        <x:v>HiTEKS documentation/security lead</x:v>
      </x:c>
      <x:c r="M143" s="5" t="str">
        <x:v>Not demonstrated</x:v>
      </x:c>
      <x:c r="N143" s="5" t="str">
        <x:v>Not demonstrated</x:v>
      </x:c>
      <x:c r="O143" s="5" t="str">
        <x:v>Approved guide plus independent walkthrough on the exact released product. Verify: Document default/service accounts and how to change default names/passwords.</x:v>
      </x:c>
      <x:c r="P143" s="10" t="str"/>
      <x:c r="Q143" s="10" t="str">
        <x:v>Open</x:v>
      </x:c>
      <x:c r="R143" s="10" t="str"/>
      <x:c r="S143" s="10" t="str"/>
      <x:c r="T143" s="10" t="str"/>
      <x:c r="U143" s="5" t="str">
        <x:f>IF(Q143="Closed",IF(AND(R143&lt;&gt;"",S143&lt;&gt;""),"Closed recorded","Missing evidence/reviewer"),IF(Q143="N/A approved",IF(AND(T143&lt;&gt;"",S143&lt;&gt;""),"N/A recorded","Missing applicability approval"),"Open"))</x:f>
        <x:v>Open</x:v>
      </x:c>
      <x:c r="V143" s="5" t="str">
        <x:v>Normativa/IEC 62443-4-1 2018.pdf</x:v>
      </x:c>
      <x:c r="W143" s="5" t="str"/>
    </x:row>
    <x:row r="144" ht="36" customHeight="1">
      <x:c r="A144" s="5" t="str">
        <x:v>SDL-SG-7-01</x:v>
      </x:c>
      <x:c r="B144" s="5" t="str">
        <x:v>SG-7</x:v>
      </x:c>
      <x:c r="C144" s="5" t="str">
        <x:v>Manual review</x:v>
      </x:c>
      <x:c r="D144" s="5" t="str">
        <x:v>Identify, characterize and close manual errors/omissions</x:v>
      </x:c>
      <x:c r="E144" s="5" t="str">
        <x:v>Mandatory</x:v>
      </x:c>
      <x:c r="F144" s="5" t="str">
        <x:v>In-scope product</x:v>
      </x:c>
      <x:c r="G144" s="5" t="str"/>
      <x:c r="H144" s="5" t="str">
        <x:v>12.8.1</x:v>
      </x:c>
      <x:c r="I144" s="5" t="str">
        <x:v>49</x:v>
      </x:c>
      <x:c r="J144" s="5" t="str">
        <x:v>47</x:v>
      </x:c>
      <x:c r="K144" s="5" t="str">
        <x:v>Controlled product installation, hardening, operation, account, update and disposal manuals; current repository runbooks are evidence seeds</x:v>
      </x:c>
      <x:c r="L144" s="5" t="str">
        <x:v>HiTEKS documentation/security lead</x:v>
      </x:c>
      <x:c r="M144" s="5" t="str">
        <x:v>Not demonstrated</x:v>
      </x:c>
      <x:c r="N144" s="5" t="str">
        <x:v>Not demonstrated</x:v>
      </x:c>
      <x:c r="O144" s="5" t="str">
        <x:v>Approved guide plus independent walkthrough on the exact released product. Verify: Identify, characterize and close manual errors/omissions.</x:v>
      </x:c>
      <x:c r="P144" s="10" t="str"/>
      <x:c r="Q144" s="10" t="str">
        <x:v>Open</x:v>
      </x:c>
      <x:c r="R144" s="10" t="str"/>
      <x:c r="S144" s="10" t="str"/>
      <x:c r="T144" s="10" t="str"/>
      <x:c r="U144" s="5" t="str">
        <x:f>IF(Q144="Closed",IF(AND(R144&lt;&gt;"",S144&lt;&gt;""),"Closed recorded","Missing evidence/reviewer"),IF(Q144="N/A approved",IF(AND(T144&lt;&gt;"",S144&lt;&gt;""),"N/A recorded","Missing applicability approval"),"Open"))</x:f>
        <x:v>Open</x:v>
      </x:c>
      <x:c r="V144" s="5" t="str">
        <x:v>Normativa/IEC 62443-4-1 2018.pdf</x:v>
      </x:c>
      <x:c r="W144" s="5" t="str"/>
    </x:row>
    <x:row r="145" ht="36" customHeight="1">
      <x:c r="A145" s="5" t="str">
        <x:v>SDL-SG-7-02</x:v>
      </x:c>
      <x:c r="B145" s="5" t="str">
        <x:v>SG-7</x:v>
      </x:c>
      <x:c r="C145" s="5" t="str">
        <x:v>Manual review</x:v>
      </x:c>
      <x:c r="D145" s="5" t="str">
        <x:v>Verify security-capability coverage, integration guidance and security of documented practices</x:v>
      </x:c>
      <x:c r="E145" s="5" t="str">
        <x:v>Mandatory</x:v>
      </x:c>
      <x:c r="F145" s="5" t="str">
        <x:v>In-scope product</x:v>
      </x:c>
      <x:c r="G145" s="5" t="str"/>
      <x:c r="H145" s="5" t="str">
        <x:v>12.8.1</x:v>
      </x:c>
      <x:c r="I145" s="5" t="str">
        <x:v>49</x:v>
      </x:c>
      <x:c r="J145" s="5" t="str">
        <x:v>47</x:v>
      </x:c>
      <x:c r="K145" s="5" t="str">
        <x:v>Controlled product installation, hardening, operation, account, update and disposal manuals; current repository runbooks are evidence seeds</x:v>
      </x:c>
      <x:c r="L145" s="5" t="str">
        <x:v>HiTEKS documentation/security lead</x:v>
      </x:c>
      <x:c r="M145" s="5" t="str">
        <x:v>Not demonstrated</x:v>
      </x:c>
      <x:c r="N145" s="5" t="str">
        <x:v>Not demonstrated</x:v>
      </x:c>
      <x:c r="O145" s="5" t="str">
        <x:v>Approved guide plus independent walkthrough on the exact released product. Verify: Verify security-capability coverage, integration guidance and security of documented practices.</x:v>
      </x:c>
      <x:c r="P145" s="10" t="str"/>
      <x:c r="Q145" s="10" t="str">
        <x:v>Open</x:v>
      </x:c>
      <x:c r="R145" s="10" t="str"/>
      <x:c r="S145" s="10" t="str"/>
      <x:c r="T145" s="10" t="str"/>
      <x:c r="U145" s="5" t="str">
        <x:f>IF(Q145="Closed",IF(AND(R145&lt;&gt;"",S145&lt;&gt;""),"Closed recorded","Missing evidence/reviewer"),IF(Q145="N/A approved",IF(AND(T145&lt;&gt;"",S145&lt;&gt;""),"N/A recorded","Missing applicability approval"),"Open"))</x:f>
        <x:v>Open</x:v>
      </x:c>
      <x:c r="V145" s="5" t="str">
        <x:v>Normativa/IEC 62443-4-1 2018.pdf</x:v>
      </x:c>
      <x:c r="W145" s="5" t="str"/>
    </x:row>
  </x:sheetData>
  <x:conditionalFormatting sqref="U7:U145">
    <x:cfRule type="containsText" dxfId="0" priority="1" operator="containsText" text="Missing"/>
  </x:conditionalFormatting>
  <x:conditionalFormatting sqref="Q7:Q145">
    <x:cfRule type="containsText" dxfId="1" priority="2" operator="containsText" text="review"/>
  </x:conditionalFormatting>
  <x:dataValidations count="1">
    <x:dataValidation type="list" sqref="Q7:Q145">
      <x:formula1>"Open,In progress,Ready for review,Closed,N/A requested,N/A 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dbe60ce2a49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1" hidden="0" customWidth="1"/>
    <x:col min="4" max="4" width="74" hidden="0" customWidth="1"/>
    <x:col min="5" max="5" width="27" hidden="0" customWidth="1"/>
    <x:col min="6" max="6" width="57" hidden="0" customWidth="1"/>
    <x:col min="7" max="7" width="12" hidden="0" customWidth="1"/>
    <x:col min="8" max="8" width="28" hidden="0" customWidth="1"/>
    <x:col min="9" max="9" width="15" hidden="0" customWidth="1"/>
    <x:col min="10" max="10" width="15" hidden="0" customWidth="1"/>
    <x:col min="11" max="11" width="78" hidden="0" customWidth="1"/>
    <x:col min="12" max="12" width="37" hidden="0" customWidth="1"/>
    <x:col min="13" max="13" width="72" hidden="0" customWidth="1"/>
    <x:col min="14" max="14" width="72" hidden="0" customWidth="1"/>
    <x:col min="15" max="15" width="90" hidden="0" customWidth="1"/>
    <x:col min="16" max="16" width="28" hidden="0" customWidth="1"/>
    <x:col min="17" max="17" width="23" hidden="0" customWidth="1"/>
    <x:col min="18" max="18" width="65" hidden="0" customWidth="1"/>
    <x:col min="19" max="19" width="28" hidden="0" customWidth="1"/>
    <x:col min="20" max="20" width="65" hidden="0" customWidth="1"/>
    <x:col min="21" max="21" width="31" hidden="0" customWidth="1"/>
    <x:col min="22" max="22" width="65" hidden="0" customWidth="1"/>
    <x:col min="23" max="23" width="90" hidden="0" customWidth="1"/>
  </x:cols>
  <x:sheetData>
    <x:row r="2">
      <x:c r="A2" s="1" t="str">
        <x:v>IEC 62443-4-2:2019 implementation tasks</x:v>
      </x:c>
    </x:row>
    <x:row r="4">
      <x:c r="A4" s="2" t="str">
        <x:v>Filter Normative class and Applicability condition. All tasks remain open until evidence and review are recorded.</x:v>
      </x:c>
    </x:row>
    <x:row r="6" ht="34" customHeight="1">
      <x:c r="A6" s="9" t="str">
        <x:v>Task ID</x:v>
      </x:c>
      <x:c r="B6" s="9" t="str">
        <x:v>Requirement reference</x:v>
      </x:c>
      <x:c r="C6" s="9" t="str">
        <x:v>Topic</x:v>
      </x:c>
      <x:c r="D6" s="9" t="str">
        <x:v>Required implementation / evidence</x:v>
      </x:c>
      <x:c r="E6" s="9" t="str">
        <x:v>Normative class</x:v>
      </x:c>
      <x:c r="F6" s="9" t="str">
        <x:v>Applicability condition</x:v>
      </x:c>
      <x:c r="G6" s="9" t="str">
        <x:v>Min FR SL-C</x:v>
      </x:c>
      <x:c r="H6" s="9" t="str">
        <x:v>Source clause / table</x:v>
      </x:c>
      <x:c r="I6" s="9" t="str">
        <x:v>PDF pages</x:v>
      </x:c>
      <x:c r="J6" s="9" t="str">
        <x:v>Printed pages</x:v>
      </x:c>
      <x:c r="K6" s="9" t="str">
        <x:v>Code / architecture / process location</x:v>
      </x:c>
      <x:c r="L6" s="9" t="str">
        <x:v>Suggested responsible role</x:v>
      </x:c>
      <x:c r="M6" s="9" t="str">
        <x:v>Merged source evidence / gap</x:v>
      </x:c>
      <x:c r="N6" s="9" t="str">
        <x:v>GitHub main evidence / gap</x:v>
      </x:c>
      <x:c r="O6" s="9" t="str">
        <x:v>Acceptance verification</x:v>
      </x:c>
      <x:c r="P6" s="9" t="str">
        <x:v>Assigned person</x:v>
      </x:c>
      <x:c r="Q6" s="9" t="str">
        <x:v>Delivery status</x:v>
      </x:c>
      <x:c r="R6" s="9" t="str">
        <x:v>Evidence record / link</x:v>
      </x:c>
      <x:c r="S6" s="9" t="str">
        <x:v>Reviewer</x:v>
      </x:c>
      <x:c r="T6" s="9" t="str">
        <x:v>Applicability decision / reason</x:v>
      </x:c>
      <x:c r="U6" s="9" t="str">
        <x:v>Closure check</x:v>
      </x:c>
      <x:c r="V6" s="9" t="str">
        <x:v>Source file</x:v>
      </x:c>
      <x:c r="W6" s="9" t="str">
        <x:v>Interpretation / scan notes</x:v>
      </x:c>
    </x:row>
    <x:row r="7" ht="36" customHeight="1">
      <x:c r="A7" s="5" t="str">
        <x:v>COMP-CCSC1-01</x:v>
      </x:c>
      <x:c r="B7" s="5" t="str">
        <x:v>CCSC1</x:v>
      </x:c>
      <x:c r="C7" s="5" t="str">
        <x:v>Essential functions</x:v>
      </x:c>
      <x:c r="D7" s="5" t="str">
        <x:v>Apply the essential-function constraints of IEC 62443-3-3:2013 clause 4</x:v>
      </x:c>
      <x:c r="E7" s="5" t="str">
        <x:v>Mandatory</x:v>
      </x:c>
      <x:c r="F7" s="5" t="str">
        <x:v>In-scope product</x:v>
      </x:c>
      <x:c r="G7" s="5" t="str"/>
      <x:c r="H7" s="5" t="str">
        <x:v>4.2</x:v>
      </x:c>
      <x:c r="I7" s="5" t="str">
        <x:v>29</x:v>
      </x:c>
      <x:c r="J7" s="5" t="str">
        <x:v>27</x:v>
      </x:c>
      <x:c r="K7" s="5" t="str">
        <x:v>Architecture/CCI_Runtime_Dataflow_Architecture.md; Architecture/Software_Architecture.md; knowledge-base/08-engineering/CCI_62443_Zones.md</x:v>
      </x:c>
      <x:c r="L7" s="5" t="str">
        <x:v>HiTEKS architect</x:v>
      </x:c>
      <x:c r="M7" s="5" t="str">
        <x:v>Not demonstrated</x:v>
      </x:c>
      <x:c r="N7" s="5" t="str">
        <x:v>Not demonstrated</x:v>
      </x:c>
      <x:c r="O7" s="5" t="str">
        <x:v>Approved design/traceability review; exercise the relevant trust boundary and record residual risks. Verify: Apply the essential-function constraints of IEC 62443-3-3:2013 clause 4.</x:v>
      </x:c>
      <x:c r="P7" s="10" t="str"/>
      <x:c r="Q7" s="10" t="str">
        <x:v>Open</x:v>
      </x:c>
      <x:c r="R7" s="10" t="str"/>
      <x:c r="S7" s="10" t="str"/>
      <x:c r="T7" s="10" t="str"/>
      <x:c r="U7" s="5" t="str">
        <x:f>IF(Q7="Closed",IF(AND(R7&lt;&gt;"",S7&lt;&gt;""),"Closed recorded","Missing evidence/reviewer"),IF(Q7="N/A approved",IF(AND(T7&lt;&gt;"",S7&lt;&gt;""),"N/A recorded","Missing applicability approval"),"Open"))</x:f>
        <x:v>Open</x:v>
      </x:c>
      <x:c r="V7" s="5" t="str">
        <x:v>Normativa/IEC 62443-4-2-2019.pdf</x:v>
      </x:c>
      <x:c r="W7" s="5" t="str"/>
    </x:row>
    <x:row r="8" ht="47" customHeight="1">
      <x:c r="A8" s="5" t="str">
        <x:v>COMP-CCSC2-01</x:v>
      </x:c>
      <x:c r="B8" s="5" t="str">
        <x:v>CCSC2</x:v>
      </x:c>
      <x:c r="C8" s="5" t="str">
        <x:v>Compensating measures</x:v>
      </x:c>
      <x:c r="D8" s="5" t="str">
        <x:v>Document external compensating countermeasures needed to satisfy component requirements when integrated</x:v>
      </x:c>
      <x:c r="E8" s="5" t="str">
        <x:v>Mandatory</x:v>
      </x:c>
      <x:c r="F8" s="5" t="str">
        <x:v>In-scope product</x:v>
      </x:c>
      <x:c r="G8" s="5" t="str"/>
      <x:c r="H8" s="5" t="str">
        <x:v>4.3</x:v>
      </x:c>
      <x:c r="I8" s="5" t="str">
        <x:v>29</x:v>
      </x:c>
      <x:c r="J8" s="5" t="str">
        <x:v>27</x:v>
      </x:c>
      <x:c r="K8" s="5" t="str">
        <x:v>Architecture/CCI_Runtime_Dataflow_Architecture.md; Architecture/Software_Architecture.md; knowledge-base/08-engineering/CCI_62443_Zones.md</x:v>
      </x:c>
      <x:c r="L8" s="5" t="str">
        <x:v>HiTEKS architect</x:v>
      </x:c>
      <x:c r="M8" s="5" t="str">
        <x:v>Not demonstrated</x:v>
      </x:c>
      <x:c r="N8" s="5" t="str">
        <x:v>Not demonstrated</x:v>
      </x:c>
      <x:c r="O8" s="5" t="str">
        <x:v>Approved design/traceability review; exercise the relevant trust boundary and record residual risks. Verify: Document external compensating countermeasures needed to satisfy component requirements when integrated.</x:v>
      </x:c>
      <x:c r="P8" s="10" t="str"/>
      <x:c r="Q8" s="10" t="str">
        <x:v>Open</x:v>
      </x:c>
      <x:c r="R8" s="10" t="str"/>
      <x:c r="S8" s="10" t="str"/>
      <x:c r="T8" s="10" t="str"/>
      <x:c r="U8" s="5" t="str">
        <x:f>IF(Q8="Closed",IF(AND(R8&lt;&gt;"",S8&lt;&gt;""),"Closed recorded","Missing evidence/reviewer"),IF(Q8="N/A approved",IF(AND(T8&lt;&gt;"",S8&lt;&gt;""),"N/A recorded","Missing applicability approval"),"Open"))</x:f>
        <x:v>Open</x:v>
      </x:c>
      <x:c r="V8" s="5" t="str">
        <x:v>Normativa/IEC 62443-4-2-2019.pdf</x:v>
      </x:c>
      <x:c r="W8" s="5" t="str"/>
    </x:row>
    <x:row r="9" ht="47" customHeight="1">
      <x:c r="A9" s="5" t="str">
        <x:v>COMP-CCSC3-01</x:v>
      </x:c>
      <x:c r="B9" s="5" t="str">
        <x:v>CCSC3</x:v>
      </x:c>
      <x:c r="C9" s="5" t="str">
        <x:v>Least privilege</x:v>
      </x:c>
      <x:c r="D9" s="5" t="str">
        <x:v>Provide permission granularity and role mapping to support least privilege and individual accountability as required</x:v>
      </x:c>
      <x:c r="E9" s="5" t="str">
        <x:v>Mandatory</x:v>
      </x:c>
      <x:c r="F9" s="5" t="str">
        <x:v>In-scope product</x:v>
      </x:c>
      <x:c r="G9" s="5" t="str"/>
      <x:c r="H9" s="5" t="str">
        <x:v>4.4</x:v>
      </x:c>
      <x:c r="I9" s="5" t="str">
        <x:v>29</x:v>
      </x:c>
      <x:c r="J9" s="5" t="str">
        <x:v>27</x:v>
      </x:c>
      <x:c r="K9" s="5" t="str">
        <x:v>Architecture/CCI_Runtime_Dataflow_Architecture.md; Architecture/Software_Architecture.md; knowledge-base/08-engineering/CCI_62443_Zones.md</x:v>
      </x:c>
      <x:c r="L9" s="5" t="str">
        <x:v>HiTEKS architect</x:v>
      </x:c>
      <x:c r="M9" s="5" t="str">
        <x:v>Not demonstrated</x:v>
      </x:c>
      <x:c r="N9" s="5" t="str">
        <x:v>Not demonstrated</x:v>
      </x:c>
      <x:c r="O9" s="5" t="str">
        <x:v>Approved design/traceability review; exercise the relevant trust boundary and record residual risks. Verify: Provide permission granularity and role mapping to support least privilege and individual accountability as required.</x:v>
      </x:c>
      <x:c r="P9" s="10" t="str"/>
      <x:c r="Q9" s="10" t="str">
        <x:v>Open</x:v>
      </x:c>
      <x:c r="R9" s="10" t="str"/>
      <x:c r="S9" s="10" t="str"/>
      <x:c r="T9" s="10" t="str"/>
      <x:c r="U9" s="5" t="str">
        <x:f>IF(Q9="Closed",IF(AND(R9&lt;&gt;"",S9&lt;&gt;""),"Closed recorded","Missing evidence/reviewer"),IF(Q9="N/A approved",IF(AND(T9&lt;&gt;"",S9&lt;&gt;""),"N/A recorded","Missing applicability approval"),"Open"))</x:f>
        <x:v>Open</x:v>
      </x:c>
      <x:c r="V9" s="5" t="str">
        <x:v>Normativa/IEC 62443-4-2-2019.pdf</x:v>
      </x:c>
      <x:c r="W9" s="5" t="str"/>
    </x:row>
    <x:row r="10" ht="36" customHeight="1">
      <x:c r="A10" s="5" t="str">
        <x:v>COMP-CCSC3-02</x:v>
      </x:c>
      <x:c r="B10" s="5" t="str">
        <x:v>CCSC3</x:v>
      </x:c>
      <x:c r="C10" s="5" t="str">
        <x:v>Least privilege</x:v>
      </x:c>
      <x:c r="D10" s="5" t="str">
        <x:v>Document permission/role granularity and assignment</x:v>
      </x:c>
      <x:c r="E10" s="5" t="str">
        <x:v>Mandatory</x:v>
      </x:c>
      <x:c r="F10" s="5" t="str">
        <x:v>In-scope product</x:v>
      </x:c>
      <x:c r="G10" s="5" t="str"/>
      <x:c r="H10" s="5" t="str">
        <x:v>4.4</x:v>
      </x:c>
      <x:c r="I10" s="5" t="str">
        <x:v>29</x:v>
      </x:c>
      <x:c r="J10" s="5" t="str">
        <x:v>27</x:v>
      </x:c>
      <x:c r="K10" s="5" t="str">
        <x:v>Architecture/CCI_Runtime_Dataflow_Architecture.md; Architecture/Software_Architecture.md; knowledge-base/08-engineering/CCI_62443_Zones.md</x:v>
      </x:c>
      <x:c r="L10" s="5" t="str">
        <x:v>HiTEKS architect</x:v>
      </x:c>
      <x:c r="M10" s="5" t="str">
        <x:v>Not demonstrated</x:v>
      </x:c>
      <x:c r="N10" s="5" t="str">
        <x:v>Not demonstrated</x:v>
      </x:c>
      <x:c r="O10" s="5" t="str">
        <x:v>Approved design/traceability review; exercise the relevant trust boundary and record residual risks. Verify: Document permission/role granularity and assignment.</x:v>
      </x:c>
      <x:c r="P10" s="10" t="str"/>
      <x:c r="Q10" s="10" t="str">
        <x:v>Open</x:v>
      </x:c>
      <x:c r="R10" s="10" t="str"/>
      <x:c r="S10" s="10" t="str"/>
      <x:c r="T10" s="10" t="str"/>
      <x:c r="U10" s="5" t="str">
        <x:f>IF(Q10="Closed",IF(AND(R10&lt;&gt;"",S10&lt;&gt;""),"Closed recorded","Missing evidence/reviewer"),IF(Q10="N/A approved",IF(AND(T10&lt;&gt;"",S10&lt;&gt;""),"N/A recorded","Missing applicability approval"),"Open"))</x:f>
        <x:v>Open</x:v>
      </x:c>
      <x:c r="V10" s="5" t="str">
        <x:v>Normativa/IEC 62443-4-2-2019.pdf</x:v>
      </x:c>
      <x:c r="W10" s="5" t="str"/>
    </x:row>
    <x:row r="11" ht="36" customHeight="1">
      <x:c r="A11" s="5" t="str">
        <x:v>COMP-CCSC4-01</x:v>
      </x:c>
      <x:c r="B11" s="5" t="str">
        <x:v>CCSC4</x:v>
      </x:c>
      <x:c r="C11" s="5" t="str">
        <x:v>Secure development</x:v>
      </x:c>
      <x:c r="D11" s="5" t="str">
        <x:v>Develop and support all scoped component types using IEC 62443-4-1 processes</x:v>
      </x:c>
      <x:c r="E11" s="5" t="str">
        <x:v>Mandatory</x:v>
      </x:c>
      <x:c r="F11" s="5" t="str">
        <x:v>In-scope product</x:v>
      </x:c>
      <x:c r="G11" s="5" t="str"/>
      <x:c r="H11" s="5" t="str">
        <x:v>4.5</x:v>
      </x:c>
      <x:c r="I11" s="5" t="str">
        <x:v>29</x:v>
      </x:c>
      <x:c r="J11" s="5" t="str">
        <x:v>27</x:v>
      </x:c>
      <x:c r="K11" s="5" t="str">
        <x:v>Architecture/CCI_Runtime_Dataflow_Architecture.md; Architecture/Software_Architecture.md; knowledge-base/08-engineering/CCI_62443_Zones.md</x:v>
      </x:c>
      <x:c r="L11" s="5" t="str">
        <x:v>HiTEKS architect</x:v>
      </x:c>
      <x:c r="M11" s="5" t="str">
        <x:v>Not demonstrated</x:v>
      </x:c>
      <x:c r="N11" s="5" t="str">
        <x:v>Not demonstrated</x:v>
      </x:c>
      <x:c r="O11" s="5" t="str">
        <x:v>Approved design/traceability review; exercise the relevant trust boundary and record residual risks. Verify: Develop and support all scoped component types using IEC 62443-4-1 processes.</x:v>
      </x:c>
      <x:c r="P11" s="10" t="str"/>
      <x:c r="Q11" s="10" t="str">
        <x:v>Open</x:v>
      </x:c>
      <x:c r="R11" s="10" t="str"/>
      <x:c r="S11" s="10" t="str"/>
      <x:c r="T11" s="10" t="str"/>
      <x:c r="U11" s="5" t="str">
        <x:f>IF(Q11="Closed",IF(AND(R11&lt;&gt;"",S11&lt;&gt;""),"Closed recorded","Missing evidence/reviewer"),IF(Q11="N/A approved",IF(AND(T11&lt;&gt;"",S11&lt;&gt;""),"N/A recorded","Missing applicability approval"),"Open"))</x:f>
        <x:v>Open</x:v>
      </x:c>
      <x:c r="V11" s="5" t="str">
        <x:v>Normativa/IEC 62443-4-2-2019.pdf</x:v>
      </x:c>
      <x:c r="W11" s="5" t="str"/>
    </x:row>
    <x:row r="12" ht="36" customHeight="1">
      <x:c r="A12" s="5" t="str">
        <x:v>COMP-CR1-1-01</x:v>
      </x:c>
      <x:c r="B12" s="5" t="str">
        <x:v>CR1.1</x:v>
      </x:c>
      <x:c r="C12" s="5" t="str">
        <x:v>Human authentication</x:v>
      </x:c>
      <x:c r="D12" s="5" t="str">
        <x:v>Identify/authenticate human users on all interfaces supporting human access</x:v>
      </x:c>
      <x:c r="E12" s="5" t="str">
        <x:v>Mandatory</x:v>
      </x:c>
      <x:c r="F12" s="5" t="str">
        <x:v>All scoped component types; claimed SL-C for this FR &gt;= 1; feature conditions apply</x:v>
      </x:c>
      <x:c r="G12" s="5" t="n">
        <x:v>1</x:v>
      </x:c>
      <x:c r="H12" s="5" t="str">
        <x:v>5.3.1</x:v>
      </x:c>
      <x:c r="I12" s="5" t="str">
        <x:v>30-31</x:v>
      </x:c>
      <x:c r="J12" s="5" t="str">
        <x:v>28,29</x:v>
      </x:c>
      <x:c r="K12" s="5" t="str">
        <x:v>apps/ccli/adapters/iec61850_mms/mms_rbac.cpp; mms_xacml.cpp; mms_rbac_security.cpp; OpenWrt SSH/LuCI account/session configuration</x:v>
      </x:c>
      <x:c r="L12" s="5" t="str">
        <x:v>HiTEKS firmware and platform leads</x:v>
      </x:c>
      <x:c r="M12" s="5" t="str">
        <x:v>Existing implementation area; requirement acceptance open</x:v>
      </x:c>
      <x:c r="N12" s="5" t="str">
        <x:v>Basic DSO/Viewer path; expanded merged RBAC absent; acceptance open</x:v>
      </x:c>
      <x:c r="O12" s="5" t="str">
        <x:v>Role/service/interface matrix with allowed and denied operations and correlated audit records. Verify: Identify/authenticate human users on all interfaces supporting human access.</x:v>
      </x:c>
      <x:c r="P12" s="10" t="str"/>
      <x:c r="Q12" s="10" t="str">
        <x:v>Open</x:v>
      </x:c>
      <x:c r="R12" s="10" t="str"/>
      <x:c r="S12" s="10" t="str"/>
      <x:c r="T12" s="10" t="str"/>
      <x:c r="U12" s="5" t="str">
        <x:f>IF(Q12="Closed",IF(AND(R12&lt;&gt;"",S12&lt;&gt;""),"Closed recorded","Missing evidence/reviewer"),IF(Q12="N/A approved",IF(AND(T12&lt;&gt;"",S12&lt;&gt;""),"N/A recorded","Missing applicability approval"),"Open"))</x:f>
        <x:v>Open</x:v>
      </x:c>
      <x:c r="V12" s="5" t="str">
        <x:v>Normativa/IEC 62443-4-2-2019.pdf</x:v>
      </x:c>
      <x:c r="W12" s="5" t="str"/>
    </x:row>
    <x:row r="13" ht="36" customHeight="1">
      <x:c r="A13" s="5" t="str">
        <x:v>COMP-CR1-1-02</x:v>
      </x:c>
      <x:c r="B13" s="5" t="str">
        <x:v>CR1.1</x:v>
      </x:c>
      <x:c r="C13" s="5" t="str">
        <x:v>Human authentication</x:v>
      </x:c>
      <x:c r="D13" s="5" t="str">
        <x:v>Enforce identification/authentication consistently with segregation of duties and least privilege</x:v>
      </x:c>
      <x:c r="E13" s="5" t="str">
        <x:v>Mandatory</x:v>
      </x:c>
      <x:c r="F13" s="5" t="str">
        <x:v>All scoped component types; claimed SL-C for this FR &gt;= 1; feature conditions apply</x:v>
      </x:c>
      <x:c r="G13" s="5" t="n">
        <x:v>1</x:v>
      </x:c>
      <x:c r="H13" s="5" t="str">
        <x:v>5.3.1</x:v>
      </x:c>
      <x:c r="I13" s="5" t="str">
        <x:v>30-31</x:v>
      </x:c>
      <x:c r="J13" s="5" t="str">
        <x:v>28,29</x:v>
      </x:c>
      <x:c r="K13" s="5" t="str">
        <x:v>apps/ccli/adapters/iec61850_mms/mms_rbac.cpp; mms_xacml.cpp; mms_rbac_security.cpp; OpenWrt SSH/LuCI account/session configuration</x:v>
      </x:c>
      <x:c r="L13" s="5" t="str">
        <x:v>HiTEKS firmware and platform leads</x:v>
      </x:c>
      <x:c r="M13" s="5" t="str">
        <x:v>Existing implementation area; requirement acceptance open</x:v>
      </x:c>
      <x:c r="N13" s="5" t="str">
        <x:v>Basic DSO/Viewer path; expanded merged RBAC absent; acceptance open</x:v>
      </x:c>
      <x:c r="O13" s="5" t="str">
        <x:v>Role/service/interface matrix with allowed and denied operations and correlated audit records. Verify: Enforce identification/authentication consistently with segregation of duties and least privilege.</x:v>
      </x:c>
      <x:c r="P13" s="10" t="str"/>
      <x:c r="Q13" s="10" t="str">
        <x:v>Open</x:v>
      </x:c>
      <x:c r="R13" s="10" t="str"/>
      <x:c r="S13" s="10" t="str"/>
      <x:c r="T13" s="10" t="str"/>
      <x:c r="U13" s="5" t="str">
        <x:f>IF(Q13="Closed",IF(AND(R13&lt;&gt;"",S13&lt;&gt;""),"Closed recorded","Missing evidence/reviewer"),IF(Q13="N/A approved",IF(AND(T13&lt;&gt;"",S13&lt;&gt;""),"N/A recorded","Missing applicability approval"),"Open"))</x:f>
        <x:v>Open</x:v>
      </x:c>
      <x:c r="V13" s="5" t="str">
        <x:v>Normativa/IEC 62443-4-2-2019.pdf</x:v>
      </x:c>
      <x:c r="W13" s="5" t="str"/>
    </x:row>
    <x:row r="14" ht="36" customHeight="1">
      <x:c r="A14" s="5" t="str">
        <x:v>COMP-CR1-2-01</x:v>
      </x:c>
      <x:c r="B14" s="5" t="str">
        <x:v>CR1.2</x:v>
      </x:c>
      <x:c r="C14" s="5" t="str">
        <x:v>Process/device authentication</x:v>
      </x:c>
      <x:c r="D14" s="5" t="str">
        <x:v>Identify and authenticate the component itself to other software/application/device components per SR1.2</x:v>
      </x:c>
      <x:c r="E14" s="5" t="str">
        <x:v>Mandatory</x:v>
      </x:c>
      <x:c r="F14" s="5" t="str">
        <x:v>All scoped component types; claimed SL-C for this FR &gt;= 2; feature conditions apply</x:v>
      </x:c>
      <x:c r="G14" s="5" t="n">
        <x:v>2</x:v>
      </x:c>
      <x:c r="H14" s="5" t="str">
        <x:v>5.4.1</x:v>
      </x:c>
      <x:c r="I14" s="5" t="str">
        <x:v>31-32</x:v>
      </x:c>
      <x:c r="J14" s="5" t="str">
        <x:v>29,30</x:v>
      </x:c>
      <x:c r="K14" s="5" t="str">
        <x:v>apps/ccli/adapters/iec61850_mms/mms_adapter.cpp; mms_rbac_security.cpp; adapters/iec60870_104/iec104_tls.cpp; core/config/ccli_config.hpp</x:v>
      </x:c>
      <x:c r="L14" s="5" t="str">
        <x:v>HiTEKS security/PKI lead</x:v>
      </x:c>
      <x:c r="M14" s="5" t="str">
        <x:v>Existing implementation area; requirement acceptance open</x:v>
      </x:c>
      <x:c r="N14" s="5" t="str">
        <x:v>Not demonstrated</x:v>
      </x:c>
      <x:c r="O14" s="5" t="str">
        <x:v>Positive and negative identity/trust/revocation tests on both claimed protocol endpoints. Verify: Identify and authenticate the component itself to other software/application/device components per SR1.2.</x:v>
      </x:c>
      <x:c r="P14" s="10" t="str"/>
      <x:c r="Q14" s="10" t="str">
        <x:v>Open</x:v>
      </x:c>
      <x:c r="R14" s="10" t="str"/>
      <x:c r="S14" s="10" t="str"/>
      <x:c r="T14" s="10" t="str"/>
      <x:c r="U14" s="5" t="str">
        <x:f>IF(Q14="Closed",IF(AND(R14&lt;&gt;"",S14&lt;&gt;""),"Closed recorded","Missing evidence/reviewer"),IF(Q14="N/A approved",IF(AND(T14&lt;&gt;"",S14&lt;&gt;""),"N/A recorded","Missing applicability approval"),"Open"))</x:f>
        <x:v>Open</x:v>
      </x:c>
      <x:c r="V14" s="5" t="str">
        <x:v>Normativa/IEC 62443-4-2-2019.pdf</x:v>
      </x:c>
      <x:c r="W14" s="5" t="str"/>
    </x:row>
    <x:row r="15" ht="36" customHeight="1">
      <x:c r="A15" s="5" t="str">
        <x:v>COMP-CR1-3-01</x:v>
      </x:c>
      <x:c r="B15" s="5" t="str">
        <x:v>CR1.3</x:v>
      </x:c>
      <x:c r="C15" s="5" t="str">
        <x:v>Account management</x:v>
      </x:c>
      <x:c r="D15" s="5" t="str">
        <x:v>Provide account management locally or integrate with a system account-management capability</x:v>
      </x:c>
      <x:c r="E15" s="5" t="str">
        <x:v>Mandatory</x:v>
      </x:c>
      <x:c r="F15" s="5" t="str">
        <x:v>All scoped component types; claimed SL-C for this FR &gt;= 1; feature conditions apply</x:v>
      </x:c>
      <x:c r="G15" s="5" t="n">
        <x:v>1</x:v>
      </x:c>
      <x:c r="H15" s="5" t="str">
        <x:v>5.5.1</x:v>
      </x:c>
      <x:c r="I15" s="5" t="str">
        <x:v>32</x:v>
      </x:c>
      <x:c r="J15" s="5" t="str">
        <x:v>30</x:v>
      </x:c>
      <x:c r="K15" s="5" t="str">
        <x:v>apps/ccli/adapters/iec61850_mms/mms_rbac.cpp; mms_xacml.cpp; mms_rbac_security.cpp; OpenWrt SSH/LuCI account/session configuration</x:v>
      </x:c>
      <x:c r="L15" s="5" t="str">
        <x:v>HiTEKS firmware and platform leads</x:v>
      </x:c>
      <x:c r="M15" s="5" t="str">
        <x:v>Existing implementation area; requirement acceptance open</x:v>
      </x:c>
      <x:c r="N15" s="5" t="str">
        <x:v>Basic DSO/Viewer path; expanded merged RBAC absent; acceptance open</x:v>
      </x:c>
      <x:c r="O15" s="5" t="str">
        <x:v>Role/service/interface matrix with allowed and denied operations and correlated audit records. Verify: Provide account management locally or integrate with a system account-management capability.</x:v>
      </x:c>
      <x:c r="P15" s="10" t="str"/>
      <x:c r="Q15" s="10" t="str">
        <x:v>Open</x:v>
      </x:c>
      <x:c r="R15" s="10" t="str"/>
      <x:c r="S15" s="10" t="str"/>
      <x:c r="T15" s="10" t="str"/>
      <x:c r="U15" s="5" t="str">
        <x:f>IF(Q15="Closed",IF(AND(R15&lt;&gt;"",S15&lt;&gt;""),"Closed recorded","Missing evidence/reviewer"),IF(Q15="N/A approved",IF(AND(T15&lt;&gt;"",S15&lt;&gt;""),"N/A recorded","Missing applicability approval"),"Open"))</x:f>
        <x:v>Open</x:v>
      </x:c>
      <x:c r="V15" s="5" t="str">
        <x:v>Normativa/IEC 62443-4-2-2019.pdf</x:v>
      </x:c>
      <x:c r="W15" s="5" t="str"/>
    </x:row>
    <x:row r="16" ht="36" customHeight="1">
      <x:c r="A16" s="5" t="str">
        <x:v>COMP-CR1-4-01</x:v>
      </x:c>
      <x:c r="B16" s="5" t="str">
        <x:v>CR1.4</x:v>
      </x:c>
      <x:c r="C16" s="5" t="str">
        <x:v>Identifier management</x:v>
      </x:c>
      <x:c r="D16" s="5" t="str">
        <x:v>Integrate with or provide identifier management for users, roles and other identified entities</x:v>
      </x:c>
      <x:c r="E16" s="5" t="str">
        <x:v>Mandatory</x:v>
      </x:c>
      <x:c r="F16" s="5" t="str">
        <x:v>All scoped component types; claimed SL-C for this FR &gt;= 1; feature conditions apply</x:v>
      </x:c>
      <x:c r="G16" s="5" t="n">
        <x:v>1</x:v>
      </x:c>
      <x:c r="H16" s="5" t="str">
        <x:v>5.6.1</x:v>
      </x:c>
      <x:c r="I16" s="5" t="str">
        <x:v>32-33</x:v>
      </x:c>
      <x:c r="J16" s="5" t="str">
        <x:v>30,31</x:v>
      </x:c>
      <x:c r="K16" s="5" t="str">
        <x:v>apps/ccli/adapters/iec61850_mms/mms_rbac.cpp; mms_xacml.cpp; mms_rbac_security.cpp; OpenWrt SSH/LuCI account/session configuration</x:v>
      </x:c>
      <x:c r="L16" s="5" t="str">
        <x:v>HiTEKS firmware and platform leads</x:v>
      </x:c>
      <x:c r="M16" s="5" t="str">
        <x:v>Existing implementation area; requirement acceptance open</x:v>
      </x:c>
      <x:c r="N16" s="5" t="str">
        <x:v>Basic DSO/Viewer path; expanded merged RBAC absent; acceptance open</x:v>
      </x:c>
      <x:c r="O16" s="5" t="str">
        <x:v>Role/service/interface matrix with allowed and denied operations and correlated audit records. Verify: Integrate with or provide identifier management for users, roles and other identified entities.</x:v>
      </x:c>
      <x:c r="P16" s="10" t="str"/>
      <x:c r="Q16" s="10" t="str">
        <x:v>Open</x:v>
      </x:c>
      <x:c r="R16" s="10" t="str"/>
      <x:c r="S16" s="10" t="str"/>
      <x:c r="T16" s="10" t="str"/>
      <x:c r="U16" s="5" t="str">
        <x:f>IF(Q16="Closed",IF(AND(R16&lt;&gt;"",S16&lt;&gt;""),"Closed recorded","Missing evidence/reviewer"),IF(Q16="N/A approved",IF(AND(T16&lt;&gt;"",S16&lt;&gt;""),"N/A recorded","Missing applicability approval"),"Open"))</x:f>
        <x:v>Open</x:v>
      </x:c>
      <x:c r="V16" s="5" t="str">
        <x:v>Normativa/IEC 62443-4-2-2019.pdf</x:v>
      </x:c>
      <x:c r="W16" s="5" t="str"/>
    </x:row>
    <x:row r="17" ht="36" customHeight="1">
      <x:c r="A17" s="5" t="str">
        <x:v>COMP-CR1-5-01</x:v>
      </x:c>
      <x:c r="B17" s="5" t="str">
        <x:v>CR1.5</x:v>
      </x:c>
      <x:c r="C17" s="5" t="str">
        <x:v>Authenticator management</x:v>
      </x:c>
      <x:c r="D17" s="5" t="str">
        <x:v>Support initial authenticator content</x:v>
      </x:c>
      <x:c r="E17" s="5" t="str">
        <x:v>Mandatory</x:v>
      </x:c>
      <x:c r="F17" s="5" t="str">
        <x:v>All scoped component types; claimed SL-C for this FR &gt;= 1; feature conditions apply</x:v>
      </x:c>
      <x:c r="G17" s="5" t="n">
        <x:v>1</x:v>
      </x:c>
      <x:c r="H17" s="5" t="str">
        <x:v>5.7.1</x:v>
      </x:c>
      <x:c r="I17" s="5" t="str">
        <x:v>33-34</x:v>
      </x:c>
      <x:c r="J17" s="5" t="str">
        <x:v>31,32</x:v>
      </x:c>
      <x:c r="K17" s="5" t="str">
        <x:v>apps/ccli/adapters/iec61850_mms/mms_adapter.cpp; mms_rbac_security.cpp; adapters/iec60870_104/iec104_tls.cpp; core/config/ccli_config.hpp</x:v>
      </x:c>
      <x:c r="L17" s="5" t="str">
        <x:v>HiTEKS security/PKI lead</x:v>
      </x:c>
      <x:c r="M17" s="5" t="str">
        <x:v>Existing implementation area; requirement acceptance open</x:v>
      </x:c>
      <x:c r="N17" s="5" t="str">
        <x:v>Confirmed gap: tracked unencrypted TLS/CA keys and package copy of config/tls/*</x:v>
      </x:c>
      <x:c r="O17" s="5" t="str">
        <x:v>Positive and negative identity/trust/revocation tests on both claimed protocol endpoints. Verify: Support initial authenticator content.</x:v>
      </x:c>
      <x:c r="P17" s="10" t="str"/>
      <x:c r="Q17" s="10" t="str">
        <x:v>Open</x:v>
      </x:c>
      <x:c r="R17" s="10" t="str"/>
      <x:c r="S17" s="10" t="str"/>
      <x:c r="T17" s="10" t="str"/>
      <x:c r="U17" s="5" t="str">
        <x:f>IF(Q17="Closed",IF(AND(R17&lt;&gt;"",S17&lt;&gt;""),"Closed recorded","Missing evidence/reviewer"),IF(Q17="N/A approved",IF(AND(T17&lt;&gt;"",S17&lt;&gt;""),"N/A recorded","Missing applicability approval"),"Open"))</x:f>
        <x:v>Open</x:v>
      </x:c>
      <x:c r="V17" s="5" t="str">
        <x:v>Normativa/IEC 62443-4-2-2019.pdf</x:v>
      </x:c>
      <x:c r="W17" s="5" t="str"/>
    </x:row>
    <x:row r="18" ht="36" customHeight="1">
      <x:c r="A18" s="5" t="str">
        <x:v>COMP-CR1-5-02</x:v>
      </x:c>
      <x:c r="B18" s="5" t="str">
        <x:v>CR1.5</x:v>
      </x:c>
      <x:c r="C18" s="5" t="str">
        <x:v>Authenticator management</x:v>
      </x:c>
      <x:c r="D18" s="5" t="str">
        <x:v>Recognize changes to installation defaults</x:v>
      </x:c>
      <x:c r="E18" s="5" t="str">
        <x:v>Mandatory</x:v>
      </x:c>
      <x:c r="F18" s="5" t="str">
        <x:v>All scoped component types; claimed SL-C for this FR &gt;= 1; feature conditions apply</x:v>
      </x:c>
      <x:c r="G18" s="5" t="n">
        <x:v>1</x:v>
      </x:c>
      <x:c r="H18" s="5" t="str">
        <x:v>5.7.1</x:v>
      </x:c>
      <x:c r="I18" s="5" t="str">
        <x:v>33-34</x:v>
      </x:c>
      <x:c r="J18" s="5" t="str">
        <x:v>31,32</x:v>
      </x:c>
      <x:c r="K18" s="5" t="str">
        <x:v>apps/ccli/adapters/iec61850_mms/mms_adapter.cpp; mms_rbac_security.cpp; adapters/iec60870_104/iec104_tls.cpp; core/config/ccli_config.hpp</x:v>
      </x:c>
      <x:c r="L18" s="5" t="str">
        <x:v>HiTEKS security/PKI lead</x:v>
      </x:c>
      <x:c r="M18" s="5" t="str">
        <x:v>Existing implementation area; requirement acceptance open</x:v>
      </x:c>
      <x:c r="N18" s="5" t="str">
        <x:v>Confirmed gap: tracked unencrypted TLS/CA keys and package copy of config/tls/*</x:v>
      </x:c>
      <x:c r="O18" s="5" t="str">
        <x:v>Positive and negative identity/trust/revocation tests on both claimed protocol endpoints. Verify: Recognize changes to installation defaults.</x:v>
      </x:c>
      <x:c r="P18" s="10" t="str"/>
      <x:c r="Q18" s="10" t="str">
        <x:v>Open</x:v>
      </x:c>
      <x:c r="R18" s="10" t="str"/>
      <x:c r="S18" s="10" t="str"/>
      <x:c r="T18" s="10" t="str"/>
      <x:c r="U18" s="5" t="str">
        <x:f>IF(Q18="Closed",IF(AND(R18&lt;&gt;"",S18&lt;&gt;""),"Closed recorded","Missing evidence/reviewer"),IF(Q18="N/A approved",IF(AND(T18&lt;&gt;"",S18&lt;&gt;""),"N/A recorded","Missing applicability approval"),"Open"))</x:f>
        <x:v>Open</x:v>
      </x:c>
      <x:c r="V18" s="5" t="str">
        <x:v>Normativa/IEC 62443-4-2-2019.pdf</x:v>
      </x:c>
      <x:c r="W18" s="5" t="str"/>
    </x:row>
    <x:row r="19" ht="36" customHeight="1">
      <x:c r="A19" s="5" t="str">
        <x:v>COMP-CR1-5-03</x:v>
      </x:c>
      <x:c r="B19" s="5" t="str">
        <x:v>CR1.5</x:v>
      </x:c>
      <x:c r="C19" s="5" t="str">
        <x:v>Authenticator management</x:v>
      </x:c>
      <x:c r="D19" s="5" t="str">
        <x:v>Continue correct operation with periodic authenticator changes</x:v>
      </x:c>
      <x:c r="E19" s="5" t="str">
        <x:v>Mandatory</x:v>
      </x:c>
      <x:c r="F19" s="5" t="str">
        <x:v>All scoped component types; claimed SL-C for this FR &gt;= 1; feature conditions apply</x:v>
      </x:c>
      <x:c r="G19" s="5" t="n">
        <x:v>1</x:v>
      </x:c>
      <x:c r="H19" s="5" t="str">
        <x:v>5.7.1</x:v>
      </x:c>
      <x:c r="I19" s="5" t="str">
        <x:v>33-34</x:v>
      </x:c>
      <x:c r="J19" s="5" t="str">
        <x:v>31,32</x:v>
      </x:c>
      <x:c r="K19" s="5" t="str">
        <x:v>apps/ccli/adapters/iec61850_mms/mms_adapter.cpp; mms_rbac_security.cpp; adapters/iec60870_104/iec104_tls.cpp; core/config/ccli_config.hpp</x:v>
      </x:c>
      <x:c r="L19" s="5" t="str">
        <x:v>HiTEKS security/PKI lead</x:v>
      </x:c>
      <x:c r="M19" s="5" t="str">
        <x:v>Existing implementation area; requirement acceptance open</x:v>
      </x:c>
      <x:c r="N19" s="5" t="str">
        <x:v>Confirmed gap: tracked unencrypted TLS/CA keys and package copy of config/tls/*</x:v>
      </x:c>
      <x:c r="O19" s="5" t="str">
        <x:v>Positive and negative identity/trust/revocation tests on both claimed protocol endpoints. Verify: Continue correct operation with periodic authenticator changes.</x:v>
      </x:c>
      <x:c r="P19" s="10" t="str"/>
      <x:c r="Q19" s="10" t="str">
        <x:v>Open</x:v>
      </x:c>
      <x:c r="R19" s="10" t="str"/>
      <x:c r="S19" s="10" t="str"/>
      <x:c r="T19" s="10" t="str"/>
      <x:c r="U19" s="5" t="str">
        <x:f>IF(Q19="Closed",IF(AND(R19&lt;&gt;"",S19&lt;&gt;""),"Closed recorded","Missing evidence/reviewer"),IF(Q19="N/A approved",IF(AND(T19&lt;&gt;"",S19&lt;&gt;""),"N/A recorded","Missing applicability approval"),"Open"))</x:f>
        <x:v>Open</x:v>
      </x:c>
      <x:c r="V19" s="5" t="str">
        <x:v>Normativa/IEC 62443-4-2-2019.pdf</x:v>
      </x:c>
      <x:c r="W19" s="5" t="str"/>
    </x:row>
    <x:row r="20" ht="36" customHeight="1">
      <x:c r="A20" s="5" t="str">
        <x:v>COMP-CR1-5-04</x:v>
      </x:c>
      <x:c r="B20" s="5" t="str">
        <x:v>CR1.5</x:v>
      </x:c>
      <x:c r="C20" s="5" t="str">
        <x:v>Authenticator management</x:v>
      </x:c>
      <x:c r="D20" s="5" t="str">
        <x:v>Protect stored, used and transmitted authenticators from disclosure and modification</x:v>
      </x:c>
      <x:c r="E20" s="5" t="str">
        <x:v>Mandatory</x:v>
      </x:c>
      <x:c r="F20" s="5" t="str">
        <x:v>All scoped component types; claimed SL-C for this FR &gt;= 1; feature conditions apply</x:v>
      </x:c>
      <x:c r="G20" s="5" t="n">
        <x:v>1</x:v>
      </x:c>
      <x:c r="H20" s="5" t="str">
        <x:v>5.7.1</x:v>
      </x:c>
      <x:c r="I20" s="5" t="str">
        <x:v>33-34</x:v>
      </x:c>
      <x:c r="J20" s="5" t="str">
        <x:v>31,32</x:v>
      </x:c>
      <x:c r="K20" s="5" t="str">
        <x:v>apps/ccli/adapters/iec61850_mms/mms_adapter.cpp; mms_rbac_security.cpp; adapters/iec60870_104/iec104_tls.cpp; core/config/ccli_config.hpp</x:v>
      </x:c>
      <x:c r="L20" s="5" t="str">
        <x:v>HiTEKS security/PKI lead</x:v>
      </x:c>
      <x:c r="M20" s="5" t="str">
        <x:v>Existing implementation area; requirement acceptance open</x:v>
      </x:c>
      <x:c r="N20" s="5" t="str">
        <x:v>Confirmed gap: tracked unencrypted TLS/CA keys and package copy of config/tls/*</x:v>
      </x:c>
      <x:c r="O20" s="5" t="str">
        <x:v>Positive and negative identity/trust/revocation tests on both claimed protocol endpoints. Verify: Protect stored, used and transmitted authenticators from disclosure and modification.</x:v>
      </x:c>
      <x:c r="P20" s="10" t="str"/>
      <x:c r="Q20" s="10" t="str">
        <x:v>Open</x:v>
      </x:c>
      <x:c r="R20" s="10" t="str"/>
      <x:c r="S20" s="10" t="str"/>
      <x:c r="T20" s="10" t="str"/>
      <x:c r="U20" s="5" t="str">
        <x:f>IF(Q20="Closed",IF(AND(R20&lt;&gt;"",S20&lt;&gt;""),"Closed recorded","Missing evidence/reviewer"),IF(Q20="N/A approved",IF(AND(T20&lt;&gt;"",S20&lt;&gt;""),"N/A recorded","Missing applicability approval"),"Open"))</x:f>
        <x:v>Open</x:v>
      </x:c>
      <x:c r="V20" s="5" t="str">
        <x:v>Normativa/IEC 62443-4-2-2019.pdf</x:v>
      </x:c>
      <x:c r="W20" s="5" t="str"/>
    </x:row>
    <x:row r="21" ht="47" customHeight="1">
      <x:c r="A21" s="5" t="str">
        <x:v>COMP-CR1-7-01</x:v>
      </x:c>
      <x:c r="B21" s="5" t="str">
        <x:v>CR1.7</x:v>
      </x:c>
      <x:c r="C21" s="5" t="str">
        <x:v>Password strength</x:v>
      </x:c>
      <x:c r="D21" s="5" t="str">
        <x:v>Enforce configurable password strength for password-based authentication according to accepted practices</x:v>
      </x:c>
      <x:c r="E21" s="5" t="str">
        <x:v>Mandatory</x:v>
      </x:c>
      <x:c r="F21" s="5" t="str">
        <x:v>All scoped component types; claimed SL-C for this FR &gt;= 1; feature conditions apply</x:v>
      </x:c>
      <x:c r="G21" s="5" t="n">
        <x:v>1</x:v>
      </x:c>
      <x:c r="H21" s="5" t="str">
        <x:v>5.9.1</x:v>
      </x:c>
      <x:c r="I21" s="5" t="str">
        <x:v>34-35</x:v>
      </x:c>
      <x:c r="J21" s="5" t="str">
        <x:v>32,33</x:v>
      </x:c>
      <x:c r="K21" s="5" t="str">
        <x:v>apps/ccli/adapters/iec61850_mms/mms_rbac.cpp; mms_xacml.cpp; mms_rbac_security.cpp; OpenWrt SSH/LuCI account/session configuration</x:v>
      </x:c>
      <x:c r="L21" s="5" t="str">
        <x:v>HiTEKS firmware and platform leads</x:v>
      </x:c>
      <x:c r="M21" s="5" t="str">
        <x:v>Existing implementation area; requirement acceptance open</x:v>
      </x:c>
      <x:c r="N21" s="5" t="str">
        <x:v>Basic DSO/Viewer path; expanded merged RBAC absent; acceptance open</x:v>
      </x:c>
      <x:c r="O21" s="5" t="str">
        <x:v>Role/service/interface matrix with allowed and denied operations and correlated audit records. Verify: Enforce configurable password strength for password-based authentication according to accepted practices.</x:v>
      </x:c>
      <x:c r="P21" s="10" t="str"/>
      <x:c r="Q21" s="10" t="str">
        <x:v>Open</x:v>
      </x:c>
      <x:c r="R21" s="10" t="str"/>
      <x:c r="S21" s="10" t="str"/>
      <x:c r="T21" s="10" t="str"/>
      <x:c r="U21" s="5" t="str">
        <x:f>IF(Q21="Closed",IF(AND(R21&lt;&gt;"",S21&lt;&gt;""),"Closed recorded","Missing evidence/reviewer"),IF(Q21="N/A approved",IF(AND(T21&lt;&gt;"",S21&lt;&gt;""),"N/A recorded","Missing applicability approval"),"Open"))</x:f>
        <x:v>Open</x:v>
      </x:c>
      <x:c r="V21" s="5" t="str">
        <x:v>Normativa/IEC 62443-4-2-2019.pdf</x:v>
      </x:c>
      <x:c r="W21" s="5" t="str"/>
    </x:row>
    <x:row r="22" ht="36" customHeight="1">
      <x:c r="A22" s="5" t="str">
        <x:v>COMP-CR1-8-01</x:v>
      </x:c>
      <x:c r="B22" s="5" t="str">
        <x:v>CR1.8</x:v>
      </x:c>
      <x:c r="C22" s="5" t="str">
        <x:v>PKI certificates</x:v>
      </x:c>
      <x:c r="D22" s="5" t="str">
        <x:v>When PKI is used, provide or integrate with PKI operation meeting IEC 62443-3-3 SR1.8</x:v>
      </x:c>
      <x:c r="E22" s="5" t="str">
        <x:v>Mandatory</x:v>
      </x:c>
      <x:c r="F22" s="5" t="str">
        <x:v>All scoped component types; claimed SL-C for this FR &gt;= 2; feature conditions apply</x:v>
      </x:c>
      <x:c r="G22" s="5" t="n">
        <x:v>2</x:v>
      </x:c>
      <x:c r="H22" s="5" t="str">
        <x:v>5.10.1</x:v>
      </x:c>
      <x:c r="I22" s="5" t="str">
        <x:v>35</x:v>
      </x:c>
      <x:c r="J22" s="5" t="str">
        <x:v>33</x:v>
      </x:c>
      <x:c r="K22" s="5" t="str">
        <x:v>apps/ccli/adapters/iec61850_mms/mms_adapter.cpp; mms_rbac_security.cpp; adapters/iec60870_104/iec104_tls.cpp; core/config/ccli_config.hpp</x:v>
      </x:c>
      <x:c r="L22" s="5" t="str">
        <x:v>HiTEKS security/PKI lead</x:v>
      </x:c>
      <x:c r="M22" s="5" t="str">
        <x:v>Existing implementation area; requirement acceptance open</x:v>
      </x:c>
      <x:c r="N22" s="5" t="str">
        <x:v>Not demonstrated</x:v>
      </x:c>
      <x:c r="O22" s="5" t="str">
        <x:v>Positive and negative identity/trust/revocation tests on both claimed protocol endpoints. Verify: When PKI is used, provide or integrate with PKI operation meeting IEC 62443-3-3 SR1.8.</x:v>
      </x:c>
      <x:c r="P22" s="10" t="str"/>
      <x:c r="Q22" s="10" t="str">
        <x:v>Open</x:v>
      </x:c>
      <x:c r="R22" s="10" t="str"/>
      <x:c r="S22" s="10" t="str"/>
      <x:c r="T22" s="10" t="str"/>
      <x:c r="U22" s="5" t="str">
        <x:f>IF(Q22="Closed",IF(AND(R22&lt;&gt;"",S22&lt;&gt;""),"Closed recorded","Missing evidence/reviewer"),IF(Q22="N/A approved",IF(AND(T22&lt;&gt;"",S22&lt;&gt;""),"N/A recorded","Missing applicability approval"),"Open"))</x:f>
        <x:v>Open</x:v>
      </x:c>
      <x:c r="V22" s="5" t="str">
        <x:v>Normativa/IEC 62443-4-2-2019.pdf</x:v>
      </x:c>
      <x:c r="W22" s="5" t="str"/>
    </x:row>
    <x:row r="23" ht="36" customHeight="1">
      <x:c r="A23" s="5" t="str">
        <x:v>COMP-CR1-9-01</x:v>
      </x:c>
      <x:c r="B23" s="5" t="str">
        <x:v>CR1.9</x:v>
      </x:c>
      <x:c r="C23" s="5" t="str">
        <x:v>Public-key authentication</x:v>
      </x:c>
      <x:c r="D23" s="5" t="str">
        <x:v>Validate certificate signatures</x:v>
      </x:c>
      <x:c r="E23" s="5" t="str">
        <x:v>Mandatory</x:v>
      </x:c>
      <x:c r="F23" s="5" t="str">
        <x:v>All scoped component types; claimed SL-C for this FR &gt;= 2; feature conditions apply</x:v>
      </x:c>
      <x:c r="G23" s="5" t="n">
        <x:v>2</x:v>
      </x:c>
      <x:c r="H23" s="5" t="str">
        <x:v>5.11.1</x:v>
      </x:c>
      <x:c r="I23" s="5" t="str">
        <x:v>36-37</x:v>
      </x:c>
      <x:c r="J23" s="5" t="str">
        <x:v>34,35</x:v>
      </x:c>
      <x:c r="K23" s="5" t="str">
        <x:v>apps/ccli/adapters/iec61850_mms/mms_adapter.cpp; mms_rbac_security.cpp; adapters/iec60870_104/iec104_tls.cpp; core/config/ccli_config.hpp</x:v>
      </x:c>
      <x:c r="L23" s="5" t="str">
        <x:v>HiTEKS security/PKI lead</x:v>
      </x:c>
      <x:c r="M23" s="5" t="str">
        <x:v>Existing implementation area; requirement acceptance open</x:v>
      </x:c>
      <x:c r="N23" s="5" t="str">
        <x:v>Not demonstrated</x:v>
      </x:c>
      <x:c r="O23" s="5" t="str">
        <x:v>Positive and negative identity/trust/revocation tests on both claimed protocol endpoints. Verify: Validate certificate signatures.</x:v>
      </x:c>
      <x:c r="P23" s="10" t="str"/>
      <x:c r="Q23" s="10" t="str">
        <x:v>Open</x:v>
      </x:c>
      <x:c r="R23" s="10" t="str"/>
      <x:c r="S23" s="10" t="str"/>
      <x:c r="T23" s="10" t="str"/>
      <x:c r="U23" s="5" t="str">
        <x:f>IF(Q23="Closed",IF(AND(R23&lt;&gt;"",S23&lt;&gt;""),"Closed recorded","Missing evidence/reviewer"),IF(Q23="N/A approved",IF(AND(T23&lt;&gt;"",S23&lt;&gt;""),"N/A recorded","Missing applicability approval"),"Open"))</x:f>
        <x:v>Open</x:v>
      </x:c>
      <x:c r="V23" s="5" t="str">
        <x:v>Normativa/IEC 62443-4-2-2019.pdf</x:v>
      </x:c>
      <x:c r="W23" s="5" t="str"/>
    </x:row>
    <x:row r="24" ht="36" customHeight="1">
      <x:c r="A24" s="5" t="str">
        <x:v>COMP-CR1-9-02</x:v>
      </x:c>
      <x:c r="B24" s="5" t="str">
        <x:v>CR1.9</x:v>
      </x:c>
      <x:c r="C24" s="5" t="str">
        <x:v>Public-key authentication</x:v>
      </x:c>
      <x:c r="D24" s="5" t="str">
        <x:v>Validate trust chains or securely provision trusted self-signed leaf certificates</x:v>
      </x:c>
      <x:c r="E24" s="5" t="str">
        <x:v>Mandatory</x:v>
      </x:c>
      <x:c r="F24" s="5" t="str">
        <x:v>All scoped component types; claimed SL-C for this FR &gt;= 2; feature conditions apply</x:v>
      </x:c>
      <x:c r="G24" s="5" t="n">
        <x:v>2</x:v>
      </x:c>
      <x:c r="H24" s="5" t="str">
        <x:v>5.11.1</x:v>
      </x:c>
      <x:c r="I24" s="5" t="str">
        <x:v>36-37</x:v>
      </x:c>
      <x:c r="J24" s="5" t="str">
        <x:v>34,35</x:v>
      </x:c>
      <x:c r="K24" s="5" t="str">
        <x:v>apps/ccli/adapters/iec61850_mms/mms_adapter.cpp; mms_rbac_security.cpp; adapters/iec60870_104/iec104_tls.cpp; core/config/ccli_config.hpp</x:v>
      </x:c>
      <x:c r="L24" s="5" t="str">
        <x:v>HiTEKS security/PKI lead</x:v>
      </x:c>
      <x:c r="M24" s="5" t="str">
        <x:v>Existing implementation area; requirement acceptance open</x:v>
      </x:c>
      <x:c r="N24" s="5" t="str">
        <x:v>Not demonstrated</x:v>
      </x:c>
      <x:c r="O24" s="5" t="str">
        <x:v>Positive and negative identity/trust/revocation tests on both claimed protocol endpoints. Verify: Validate trust chains or securely provision trusted self-signed leaf certificates.</x:v>
      </x:c>
      <x:c r="P24" s="10" t="str"/>
      <x:c r="Q24" s="10" t="str">
        <x:v>Open</x:v>
      </x:c>
      <x:c r="R24" s="10" t="str"/>
      <x:c r="S24" s="10" t="str"/>
      <x:c r="T24" s="10" t="str"/>
      <x:c r="U24" s="5" t="str">
        <x:f>IF(Q24="Closed",IF(AND(R24&lt;&gt;"",S24&lt;&gt;""),"Closed recorded","Missing evidence/reviewer"),IF(Q24="N/A approved",IF(AND(T24&lt;&gt;"",S24&lt;&gt;""),"N/A recorded","Missing applicability approval"),"Open"))</x:f>
        <x:v>Open</x:v>
      </x:c>
      <x:c r="V24" s="5" t="str">
        <x:v>Normativa/IEC 62443-4-2-2019.pdf</x:v>
      </x:c>
      <x:c r="W24" s="5" t="str"/>
    </x:row>
    <x:row r="25" ht="36" customHeight="1">
      <x:c r="A25" s="5" t="str">
        <x:v>COMP-CR1-9-03</x:v>
      </x:c>
      <x:c r="B25" s="5" t="str">
        <x:v>CR1.9</x:v>
      </x:c>
      <x:c r="C25" s="5" t="str">
        <x:v>Public-key authentication</x:v>
      </x:c>
      <x:c r="D25" s="5" t="str">
        <x:v>Check revocation</x:v>
      </x:c>
      <x:c r="E25" s="5" t="str">
        <x:v>Mandatory</x:v>
      </x:c>
      <x:c r="F25" s="5" t="str">
        <x:v>All scoped component types; claimed SL-C for this FR &gt;= 2; feature conditions apply</x:v>
      </x:c>
      <x:c r="G25" s="5" t="n">
        <x:v>2</x:v>
      </x:c>
      <x:c r="H25" s="5" t="str">
        <x:v>5.11.1</x:v>
      </x:c>
      <x:c r="I25" s="5" t="str">
        <x:v>36-37</x:v>
      </x:c>
      <x:c r="J25" s="5" t="str">
        <x:v>34,35</x:v>
      </x:c>
      <x:c r="K25" s="5" t="str">
        <x:v>apps/ccli/adapters/iec61850_mms/mms_adapter.cpp; mms_rbac_security.cpp; adapters/iec60870_104/iec104_tls.cpp; core/config/ccli_config.hpp</x:v>
      </x:c>
      <x:c r="L25" s="5" t="str">
        <x:v>HiTEKS security/PKI lead</x:v>
      </x:c>
      <x:c r="M25" s="5" t="str">
        <x:v>Existing implementation area; requirement acceptance open</x:v>
      </x:c>
      <x:c r="N25" s="5" t="str">
        <x:v>Not demonstrated</x:v>
      </x:c>
      <x:c r="O25" s="5" t="str">
        <x:v>Positive and negative identity/trust/revocation tests on both claimed protocol endpoints. Verify: Check revocation.</x:v>
      </x:c>
      <x:c r="P25" s="10" t="str"/>
      <x:c r="Q25" s="10" t="str">
        <x:v>Open</x:v>
      </x:c>
      <x:c r="R25" s="10" t="str"/>
      <x:c r="S25" s="10" t="str"/>
      <x:c r="T25" s="10" t="str"/>
      <x:c r="U25" s="5" t="str">
        <x:f>IF(Q25="Closed",IF(AND(R25&lt;&gt;"",S25&lt;&gt;""),"Closed recorded","Missing evidence/reviewer"),IF(Q25="N/A approved",IF(AND(T25&lt;&gt;"",S25&lt;&gt;""),"N/A recorded","Missing applicability approval"),"Open"))</x:f>
        <x:v>Open</x:v>
      </x:c>
      <x:c r="V25" s="5" t="str">
        <x:v>Normativa/IEC 62443-4-2-2019.pdf</x:v>
      </x:c>
      <x:c r="W25" s="5" t="str"/>
    </x:row>
    <x:row r="26" ht="36" customHeight="1">
      <x:c r="A26" s="5" t="str">
        <x:v>COMP-CR1-9-04</x:v>
      </x:c>
      <x:c r="B26" s="5" t="str">
        <x:v>CR1.9</x:v>
      </x:c>
      <x:c r="C26" s="5" t="str">
        <x:v>Public-key authentication</x:v>
      </x:c>
      <x:c r="D26" s="5" t="str">
        <x:v>Establish possession of the corresponding private key</x:v>
      </x:c>
      <x:c r="E26" s="5" t="str">
        <x:v>Mandatory</x:v>
      </x:c>
      <x:c r="F26" s="5" t="str">
        <x:v>All scoped component types; claimed SL-C for this FR &gt;= 2; feature conditions apply</x:v>
      </x:c>
      <x:c r="G26" s="5" t="n">
        <x:v>2</x:v>
      </x:c>
      <x:c r="H26" s="5" t="str">
        <x:v>5.11.1</x:v>
      </x:c>
      <x:c r="I26" s="5" t="str">
        <x:v>36-37</x:v>
      </x:c>
      <x:c r="J26" s="5" t="str">
        <x:v>34,35</x:v>
      </x:c>
      <x:c r="K26" s="5" t="str">
        <x:v>apps/ccli/adapters/iec61850_mms/mms_adapter.cpp; mms_rbac_security.cpp; adapters/iec60870_104/iec104_tls.cpp; core/config/ccli_config.hpp</x:v>
      </x:c>
      <x:c r="L26" s="5" t="str">
        <x:v>HiTEKS security/PKI lead</x:v>
      </x:c>
      <x:c r="M26" s="5" t="str">
        <x:v>Existing implementation area; requirement acceptance open</x:v>
      </x:c>
      <x:c r="N26" s="5" t="str">
        <x:v>Not demonstrated</x:v>
      </x:c>
      <x:c r="O26" s="5" t="str">
        <x:v>Positive and negative identity/trust/revocation tests on both claimed protocol endpoints. Verify: Establish possession of the corresponding private key.</x:v>
      </x:c>
      <x:c r="P26" s="10" t="str"/>
      <x:c r="Q26" s="10" t="str">
        <x:v>Open</x:v>
      </x:c>
      <x:c r="R26" s="10" t="str"/>
      <x:c r="S26" s="10" t="str"/>
      <x:c r="T26" s="10" t="str"/>
      <x:c r="U26" s="5" t="str">
        <x:f>IF(Q26="Closed",IF(AND(R26&lt;&gt;"",S26&lt;&gt;""),"Closed recorded","Missing evidence/reviewer"),IF(Q26="N/A approved",IF(AND(T26&lt;&gt;"",S26&lt;&gt;""),"N/A recorded","Missing applicability approval"),"Open"))</x:f>
        <x:v>Open</x:v>
      </x:c>
      <x:c r="V26" s="5" t="str">
        <x:v>Normativa/IEC 62443-4-2-2019.pdf</x:v>
      </x:c>
      <x:c r="W26" s="5" t="str"/>
    </x:row>
    <x:row r="27" ht="36" customHeight="1">
      <x:c r="A27" s="5" t="str">
        <x:v>COMP-CR1-9-05</x:v>
      </x:c>
      <x:c r="B27" s="5" t="str">
        <x:v>CR1.9</x:v>
      </x:c>
      <x:c r="C27" s="5" t="str">
        <x:v>Public-key authentication</x:v>
      </x:c>
      <x:c r="D27" s="5" t="str">
        <x:v>Map authenticated identity to the user/process/device</x:v>
      </x:c>
      <x:c r="E27" s="5" t="str">
        <x:v>Mandatory</x:v>
      </x:c>
      <x:c r="F27" s="5" t="str">
        <x:v>All scoped component types; claimed SL-C for this FR &gt;= 2; feature conditions apply</x:v>
      </x:c>
      <x:c r="G27" s="5" t="n">
        <x:v>2</x:v>
      </x:c>
      <x:c r="H27" s="5" t="str">
        <x:v>5.11.1</x:v>
      </x:c>
      <x:c r="I27" s="5" t="str">
        <x:v>36-37</x:v>
      </x:c>
      <x:c r="J27" s="5" t="str">
        <x:v>34,35</x:v>
      </x:c>
      <x:c r="K27" s="5" t="str">
        <x:v>apps/ccli/adapters/iec61850_mms/mms_adapter.cpp; mms_rbac_security.cpp; adapters/iec60870_104/iec104_tls.cpp; core/config/ccli_config.hpp</x:v>
      </x:c>
      <x:c r="L27" s="5" t="str">
        <x:v>HiTEKS security/PKI lead</x:v>
      </x:c>
      <x:c r="M27" s="5" t="str">
        <x:v>Existing implementation area; requirement acceptance open</x:v>
      </x:c>
      <x:c r="N27" s="5" t="str">
        <x:v>Not demonstrated</x:v>
      </x:c>
      <x:c r="O27" s="5" t="str">
        <x:v>Positive and negative identity/trust/revocation tests on both claimed protocol endpoints. Verify: Map authenticated identity to the user/process/device.</x:v>
      </x:c>
      <x:c r="P27" s="10" t="str"/>
      <x:c r="Q27" s="10" t="str">
        <x:v>Open</x:v>
      </x:c>
      <x:c r="R27" s="10" t="str"/>
      <x:c r="S27" s="10" t="str"/>
      <x:c r="T27" s="10" t="str"/>
      <x:c r="U27" s="5" t="str">
        <x:f>IF(Q27="Closed",IF(AND(R27&lt;&gt;"",S27&lt;&gt;""),"Closed recorded","Missing evidence/reviewer"),IF(Q27="N/A approved",IF(AND(T27&lt;&gt;"",S27&lt;&gt;""),"N/A recorded","Missing applicability approval"),"Open"))</x:f>
        <x:v>Open</x:v>
      </x:c>
      <x:c r="V27" s="5" t="str">
        <x:v>Normativa/IEC 62443-4-2-2019.pdf</x:v>
      </x:c>
      <x:c r="W27" s="5" t="str"/>
    </x:row>
    <x:row r="28" ht="36" customHeight="1">
      <x:c r="A28" s="5" t="str">
        <x:v>COMP-CR1-9-06</x:v>
      </x:c>
      <x:c r="B28" s="5" t="str">
        <x:v>CR1.9</x:v>
      </x:c>
      <x:c r="C28" s="5" t="str">
        <x:v>Public-key authentication</x:v>
      </x:c>
      <x:c r="D28" s="5" t="str">
        <x:v>Use algorithms/keys satisfying CR4.3</x:v>
      </x:c>
      <x:c r="E28" s="5" t="str">
        <x:v>Mandatory</x:v>
      </x:c>
      <x:c r="F28" s="5" t="str">
        <x:v>All scoped component types; claimed SL-C for this FR &gt;= 2; feature conditions apply</x:v>
      </x:c>
      <x:c r="G28" s="5" t="n">
        <x:v>2</x:v>
      </x:c>
      <x:c r="H28" s="5" t="str">
        <x:v>5.11.1</x:v>
      </x:c>
      <x:c r="I28" s="5" t="str">
        <x:v>36-37</x:v>
      </x:c>
      <x:c r="J28" s="5" t="str">
        <x:v>34,35</x:v>
      </x:c>
      <x:c r="K28" s="5" t="str">
        <x:v>apps/ccli/adapters/iec61850_mms/mms_adapter.cpp; mms_rbac_security.cpp; adapters/iec60870_104/iec104_tls.cpp; core/config/ccli_config.hpp</x:v>
      </x:c>
      <x:c r="L28" s="5" t="str">
        <x:v>HiTEKS security/PKI lead</x:v>
      </x:c>
      <x:c r="M28" s="5" t="str">
        <x:v>Existing implementation area; requirement acceptance open</x:v>
      </x:c>
      <x:c r="N28" s="5" t="str">
        <x:v>Not demonstrated</x:v>
      </x:c>
      <x:c r="O28" s="5" t="str">
        <x:v>Positive and negative identity/trust/revocation tests on both claimed protocol endpoints. Verify: Use algorithms/keys satisfying CR4.3.</x:v>
      </x:c>
      <x:c r="P28" s="10" t="str"/>
      <x:c r="Q28" s="10" t="str">
        <x:v>Open</x:v>
      </x:c>
      <x:c r="R28" s="10" t="str"/>
      <x:c r="S28" s="10" t="str"/>
      <x:c r="T28" s="10" t="str"/>
      <x:c r="U28" s="5" t="str">
        <x:f>IF(Q28="Closed",IF(AND(R28&lt;&gt;"",S28&lt;&gt;""),"Closed recorded","Missing evidence/reviewer"),IF(Q28="N/A approved",IF(AND(T28&lt;&gt;"",S28&lt;&gt;""),"N/A recorded","Missing applicability approval"),"Open"))</x:f>
        <x:v>Open</x:v>
      </x:c>
      <x:c r="V28" s="5" t="str">
        <x:v>Normativa/IEC 62443-4-2-2019.pdf</x:v>
      </x:c>
      <x:c r="W28" s="5" t="str"/>
    </x:row>
    <x:row r="29" ht="36" customHeight="1">
      <x:c r="A29" s="5" t="str">
        <x:v>COMP-CR1-10-01</x:v>
      </x:c>
      <x:c r="B29" s="5" t="str">
        <x:v>CR1.10</x:v>
      </x:c>
      <x:c r="C29" s="5" t="str">
        <x:v>Authenticator feedback</x:v>
      </x:c>
      <x:c r="D29" s="5" t="str">
        <x:v>Obscure authenticator feedback during authentication</x:v>
      </x:c>
      <x:c r="E29" s="5" t="str">
        <x:v>Mandatory</x:v>
      </x:c>
      <x:c r="F29" s="5" t="str">
        <x:v>All scoped component types; claimed SL-C for this FR &gt;= 1; feature conditions apply</x:v>
      </x:c>
      <x:c r="G29" s="5" t="n">
        <x:v>1</x:v>
      </x:c>
      <x:c r="H29" s="5" t="str">
        <x:v>5.12.1</x:v>
      </x:c>
      <x:c r="I29" s="5" t="str">
        <x:v>37</x:v>
      </x:c>
      <x:c r="J29" s="5" t="str">
        <x:v>35</x:v>
      </x:c>
      <x:c r="K29" s="5" t="str">
        <x:v>apps/ccli/adapters/iec61850_mms/mms_rbac.cpp; mms_xacml.cpp; mms_rbac_security.cpp; OpenWrt SSH/LuCI account/session configuration</x:v>
      </x:c>
      <x:c r="L29" s="5" t="str">
        <x:v>HiTEKS firmware and platform leads</x:v>
      </x:c>
      <x:c r="M29" s="5" t="str">
        <x:v>Existing implementation area; requirement acceptance open</x:v>
      </x:c>
      <x:c r="N29" s="5" t="str">
        <x:v>Basic DSO/Viewer path; expanded merged RBAC absent; acceptance open</x:v>
      </x:c>
      <x:c r="O29" s="5" t="str">
        <x:v>Role/service/interface matrix with allowed and denied operations and correlated audit records. Verify: Obscure authenticator feedback during authentication.</x:v>
      </x:c>
      <x:c r="P29" s="10" t="str"/>
      <x:c r="Q29" s="10" t="str">
        <x:v>Open</x:v>
      </x:c>
      <x:c r="R29" s="10" t="str"/>
      <x:c r="S29" s="10" t="str"/>
      <x:c r="T29" s="10" t="str"/>
      <x:c r="U29" s="5" t="str">
        <x:f>IF(Q29="Closed",IF(AND(R29&lt;&gt;"",S29&lt;&gt;""),"Closed recorded","Missing evidence/reviewer"),IF(Q29="N/A approved",IF(AND(T29&lt;&gt;"",S29&lt;&gt;""),"N/A recorded","Missing applicability approval"),"Open"))</x:f>
        <x:v>Open</x:v>
      </x:c>
      <x:c r="V29" s="5" t="str">
        <x:v>Normativa/IEC 62443-4-2-2019.pdf</x:v>
      </x:c>
      <x:c r="W29" s="5" t="str"/>
    </x:row>
    <x:row r="30" ht="47" customHeight="1">
      <x:c r="A30" s="5" t="str">
        <x:v>COMP-CR1-11-01</x:v>
      </x:c>
      <x:c r="B30" s="5" t="str">
        <x:v>CR1.11</x:v>
      </x:c>
      <x:c r="C30" s="5" t="str">
        <x:v>Failed login handling</x:v>
      </x:c>
      <x:c r="D30" s="5" t="str">
        <x:v>For any authenticating human/process/device, enforce a configurable consecutive-invalid-attempt limit within a configurable period</x:v>
      </x:c>
      <x:c r="E30" s="5" t="str">
        <x:v>Mandatory</x:v>
      </x:c>
      <x:c r="F30" s="5" t="str">
        <x:v>All scoped component types; claimed SL-C for this FR &gt;= 1; feature conditions apply</x:v>
      </x:c>
      <x:c r="G30" s="5" t="n">
        <x:v>1</x:v>
      </x:c>
      <x:c r="H30" s="5" t="str">
        <x:v>5.13.1</x:v>
      </x:c>
      <x:c r="I30" s="5" t="str">
        <x:v>37-38</x:v>
      </x:c>
      <x:c r="J30" s="5" t="str">
        <x:v>35,36</x:v>
      </x:c>
      <x:c r="K30" s="5" t="str">
        <x:v>apps/ccli/adapters/iec61850_mms/mms_rbac.cpp; mms_xacml.cpp; mms_rbac_security.cpp; OpenWrt SSH/LuCI account/session configuration</x:v>
      </x:c>
      <x:c r="L30" s="5" t="str">
        <x:v>HiTEKS firmware and platform leads</x:v>
      </x:c>
      <x:c r="M30" s="5" t="str">
        <x:v>Existing implementation area; requirement acceptance open</x:v>
      </x:c>
      <x:c r="N30" s="5" t="str">
        <x:v>Basic DSO/Viewer path; expanded merged RBAC absent; acceptance open</x:v>
      </x:c>
      <x:c r="O30" s="5" t="str">
        <x:v>Role/service/interface matrix with allowed and denied operations and correlated audit records. Verify: For any authenticating human/process/device, enforce a configurable consecutive-invalid-attempt limit within a configurable period.</x:v>
      </x:c>
      <x:c r="P30" s="10" t="str"/>
      <x:c r="Q30" s="10" t="str">
        <x:v>Open</x:v>
      </x:c>
      <x:c r="R30" s="10" t="str"/>
      <x:c r="S30" s="10" t="str"/>
      <x:c r="T30" s="10" t="str"/>
      <x:c r="U30" s="5" t="str">
        <x:f>IF(Q30="Closed",IF(AND(R30&lt;&gt;"",S30&lt;&gt;""),"Closed recorded","Missing evidence/reviewer"),IF(Q30="N/A approved",IF(AND(T30&lt;&gt;"",S30&lt;&gt;""),"N/A recorded","Missing applicability approval"),"Open"))</x:f>
        <x:v>Open</x:v>
      </x:c>
      <x:c r="V30" s="5" t="str">
        <x:v>Normativa/IEC 62443-4-2-2019.pdf</x:v>
      </x:c>
      <x:c r="W30" s="5" t="str"/>
    </x:row>
    <x:row r="31" ht="36" customHeight="1">
      <x:c r="A31" s="5" t="str">
        <x:v>COMP-CR1-11-02</x:v>
      </x:c>
      <x:c r="B31" s="5" t="str">
        <x:v>CR1.11</x:v>
      </x:c>
      <x:c r="C31" s="5" t="str">
        <x:v>Failed login handling</x:v>
      </x:c>
      <x:c r="D31" s="5" t="str">
        <x:v>Deny access for a configured period or until administrator reset once the limit is exceeded</x:v>
      </x:c>
      <x:c r="E31" s="5" t="str">
        <x:v>Mandatory</x:v>
      </x:c>
      <x:c r="F31" s="5" t="str">
        <x:v>All scoped component types; claimed SL-C for this FR &gt;= 1; feature conditions apply</x:v>
      </x:c>
      <x:c r="G31" s="5" t="n">
        <x:v>1</x:v>
      </x:c>
      <x:c r="H31" s="5" t="str">
        <x:v>5.13.1</x:v>
      </x:c>
      <x:c r="I31" s="5" t="str">
        <x:v>37-38</x:v>
      </x:c>
      <x:c r="J31" s="5" t="str">
        <x:v>35,36</x:v>
      </x:c>
      <x:c r="K31" s="5" t="str">
        <x:v>apps/ccli/adapters/iec61850_mms/mms_rbac.cpp; mms_xacml.cpp; mms_rbac_security.cpp; OpenWrt SSH/LuCI account/session configuration</x:v>
      </x:c>
      <x:c r="L31" s="5" t="str">
        <x:v>HiTEKS firmware and platform leads</x:v>
      </x:c>
      <x:c r="M31" s="5" t="str">
        <x:v>Existing implementation area; requirement acceptance open</x:v>
      </x:c>
      <x:c r="N31" s="5" t="str">
        <x:v>Basic DSO/Viewer path; expanded merged RBAC absent; acceptance open</x:v>
      </x:c>
      <x:c r="O31" s="5" t="str">
        <x:v>Role/service/interface matrix with allowed and denied operations and correlated audit records. Verify: Deny access for a configured period or until administrator reset once the limit is exceeded.</x:v>
      </x:c>
      <x:c r="P31" s="10" t="str"/>
      <x:c r="Q31" s="10" t="str">
        <x:v>Open</x:v>
      </x:c>
      <x:c r="R31" s="10" t="str"/>
      <x:c r="S31" s="10" t="str"/>
      <x:c r="T31" s="10" t="str"/>
      <x:c r="U31" s="5" t="str">
        <x:f>IF(Q31="Closed",IF(AND(R31&lt;&gt;"",S31&lt;&gt;""),"Closed recorded","Missing evidence/reviewer"),IF(Q31="N/A approved",IF(AND(T31&lt;&gt;"",S31&lt;&gt;""),"N/A recorded","Missing applicability approval"),"Open"))</x:f>
        <x:v>Open</x:v>
      </x:c>
      <x:c r="V31" s="5" t="str">
        <x:v>Normativa/IEC 62443-4-2-2019.pdf</x:v>
      </x:c>
      <x:c r="W31" s="5" t="str"/>
    </x:row>
    <x:row r="32" ht="36" customHeight="1">
      <x:c r="A32" s="5" t="str">
        <x:v>COMP-CR1-12-01</x:v>
      </x:c>
      <x:c r="B32" s="5" t="str">
        <x:v>CR1.12</x:v>
      </x:c>
      <x:c r="C32" s="5" t="str">
        <x:v>Use notification</x:v>
      </x:c>
      <x:c r="D32" s="5" t="str">
        <x:v>Where local human access/HMI is provided, display system-use notice before authentication</x:v>
      </x:c>
      <x:c r="E32" s="5" t="str">
        <x:v>Mandatory</x:v>
      </x:c>
      <x:c r="F32" s="5" t="str">
        <x:v>All scoped component types; claimed SL-C for this FR &gt;= 1; feature conditions apply</x:v>
      </x:c>
      <x:c r="G32" s="5" t="n">
        <x:v>1</x:v>
      </x:c>
      <x:c r="H32" s="5" t="str">
        <x:v>5.14.1</x:v>
      </x:c>
      <x:c r="I32" s="5" t="str">
        <x:v>38-39</x:v>
      </x:c>
      <x:c r="J32" s="5" t="str">
        <x:v>36,37</x:v>
      </x:c>
      <x:c r="K32" s="5" t="str">
        <x:v>apps/ccli/adapters/iec61850_mms/mms_rbac.cpp; mms_xacml.cpp; mms_rbac_security.cpp; OpenWrt SSH/LuCI account/session configuration</x:v>
      </x:c>
      <x:c r="L32" s="5" t="str">
        <x:v>HiTEKS firmware and platform leads</x:v>
      </x:c>
      <x:c r="M32" s="5" t="str">
        <x:v>Existing implementation area; requirement acceptance open</x:v>
      </x:c>
      <x:c r="N32" s="5" t="str">
        <x:v>Basic DSO/Viewer path; expanded merged RBAC absent; acceptance open</x:v>
      </x:c>
      <x:c r="O32" s="5" t="str">
        <x:v>Role/service/interface matrix with allowed and denied operations and correlated audit records. Verify: Where local human access/HMI is provided, display system-use notice before authentication.</x:v>
      </x:c>
      <x:c r="P32" s="10" t="str"/>
      <x:c r="Q32" s="10" t="str">
        <x:v>Open</x:v>
      </x:c>
      <x:c r="R32" s="10" t="str"/>
      <x:c r="S32" s="10" t="str"/>
      <x:c r="T32" s="10" t="str"/>
      <x:c r="U32" s="5" t="str">
        <x:f>IF(Q32="Closed",IF(AND(R32&lt;&gt;"",S32&lt;&gt;""),"Closed recorded","Missing evidence/reviewer"),IF(Q32="N/A approved",IF(AND(T32&lt;&gt;"",S32&lt;&gt;""),"N/A recorded","Missing applicability approval"),"Open"))</x:f>
        <x:v>Open</x:v>
      </x:c>
      <x:c r="V32" s="5" t="str">
        <x:v>Normativa/IEC 62443-4-2-2019.pdf</x:v>
      </x:c>
      <x:c r="W32" s="5" t="str"/>
    </x:row>
    <x:row r="33" ht="36" customHeight="1">
      <x:c r="A33" s="5" t="str">
        <x:v>COMP-CR1-12-02</x:v>
      </x:c>
      <x:c r="B33" s="5" t="str">
        <x:v>CR1.12</x:v>
      </x:c>
      <x:c r="C33" s="5" t="str">
        <x:v>Use notification</x:v>
      </x:c>
      <x:c r="D33" s="5" t="str">
        <x:v>Permit authorized personnel to configure the notice</x:v>
      </x:c>
      <x:c r="E33" s="5" t="str">
        <x:v>Mandatory</x:v>
      </x:c>
      <x:c r="F33" s="5" t="str">
        <x:v>All scoped component types; claimed SL-C for this FR &gt;= 1; feature conditions apply</x:v>
      </x:c>
      <x:c r="G33" s="5" t="n">
        <x:v>1</x:v>
      </x:c>
      <x:c r="H33" s="5" t="str">
        <x:v>5.14.1</x:v>
      </x:c>
      <x:c r="I33" s="5" t="str">
        <x:v>38-39</x:v>
      </x:c>
      <x:c r="J33" s="5" t="str">
        <x:v>36,37</x:v>
      </x:c>
      <x:c r="K33" s="5" t="str">
        <x:v>apps/ccli/adapters/iec61850_mms/mms_rbac.cpp; mms_xacml.cpp; mms_rbac_security.cpp; OpenWrt SSH/LuCI account/session configuration</x:v>
      </x:c>
      <x:c r="L33" s="5" t="str">
        <x:v>HiTEKS firmware and platform leads</x:v>
      </x:c>
      <x:c r="M33" s="5" t="str">
        <x:v>Existing implementation area; requirement acceptance open</x:v>
      </x:c>
      <x:c r="N33" s="5" t="str">
        <x:v>Basic DSO/Viewer path; expanded merged RBAC absent; acceptance open</x:v>
      </x:c>
      <x:c r="O33" s="5" t="str">
        <x:v>Role/service/interface matrix with allowed and denied operations and correlated audit records. Verify: Permit authorized personnel to configure the notice.</x:v>
      </x:c>
      <x:c r="P33" s="10" t="str"/>
      <x:c r="Q33" s="10" t="str">
        <x:v>Open</x:v>
      </x:c>
      <x:c r="R33" s="10" t="str"/>
      <x:c r="S33" s="10" t="str"/>
      <x:c r="T33" s="10" t="str"/>
      <x:c r="U33" s="5" t="str">
        <x:f>IF(Q33="Closed",IF(AND(R33&lt;&gt;"",S33&lt;&gt;""),"Closed recorded","Missing evidence/reviewer"),IF(Q33="N/A approved",IF(AND(T33&lt;&gt;"",S33&lt;&gt;""),"N/A recorded","Missing applicability approval"),"Open"))</x:f>
        <x:v>Open</x:v>
      </x:c>
      <x:c r="V33" s="5" t="str">
        <x:v>Normativa/IEC 62443-4-2-2019.pdf</x:v>
      </x:c>
      <x:c r="W33" s="5" t="str"/>
    </x:row>
    <x:row r="34" ht="36" customHeight="1">
      <x:c r="A34" s="5" t="str">
        <x:v>COMP-CR1-14-01</x:v>
      </x:c>
      <x:c r="B34" s="5" t="str">
        <x:v>CR1.14</x:v>
      </x:c>
      <x:c r="C34" s="5" t="str">
        <x:v>Symmetric authentication</x:v>
      </x:c>
      <x:c r="D34" s="5" t="str">
        <x:v>When symmetric authentication is used, establish mutual trust using the shared key</x:v>
      </x:c>
      <x:c r="E34" s="5" t="str">
        <x:v>Mandatory</x:v>
      </x:c>
      <x:c r="F34" s="5" t="str">
        <x:v>All scoped component types; claimed SL-C for this FR &gt;= 1; feature conditions apply</x:v>
      </x:c>
      <x:c r="G34" s="5" t="n">
        <x:v>1</x:v>
      </x:c>
      <x:c r="H34" s="5" t="str">
        <x:v>5.16.1</x:v>
      </x:c>
      <x:c r="I34" s="5" t="str">
        <x:v>39-40</x:v>
      </x:c>
      <x:c r="J34" s="5" t="str">
        <x:v>37,38</x:v>
      </x:c>
      <x:c r="K34" s="5" t="str">
        <x:v>apps/ccli/third_party/libiec61850/hal/tls/mbedtls3; adapters/iec61850_mms/mms_adapter.cpp; adapters/iec60870_104/iec104_tls.cpp; cmake/tls_allowlist_validation.cmake</x:v>
      </x:c>
      <x:c r="L34" s="5" t="str">
        <x:v>HiTEKS security + Tespro platform</x:v>
      </x:c>
      <x:c r="M34" s="5" t="str">
        <x:v>Existing implementation area; requirement acceptance open</x:v>
      </x:c>
      <x:c r="N34" s="5" t="str">
        <x:v>Not demonstrated</x:v>
      </x:c>
      <x:c r="O34" s="5" t="str">
        <x:v>Frozen-build algorithm/policy tests, key handling review and negative negotiation evidence. Verify: When symmetric authentication is used, establish mutual trust using the shared key.</x:v>
      </x:c>
      <x:c r="P34" s="10" t="str"/>
      <x:c r="Q34" s="10" t="str">
        <x:v>Open</x:v>
      </x:c>
      <x:c r="R34" s="10" t="str"/>
      <x:c r="S34" s="10" t="str"/>
      <x:c r="T34" s="10" t="str"/>
      <x:c r="U34" s="5" t="str">
        <x:f>IF(Q34="Closed",IF(AND(R34&lt;&gt;"",S34&lt;&gt;""),"Closed recorded","Missing evidence/reviewer"),IF(Q34="N/A approved",IF(AND(T34&lt;&gt;"",S34&lt;&gt;""),"N/A recorded","Missing applicability approval"),"Open"))</x:f>
        <x:v>Open</x:v>
      </x:c>
      <x:c r="V34" s="5" t="str">
        <x:v>Normativa/IEC 62443-4-2-2019.pdf</x:v>
      </x:c>
      <x:c r="W34" s="5" t="str"/>
    </x:row>
    <x:row r="35" ht="36" customHeight="1">
      <x:c r="A35" s="5" t="str">
        <x:v>COMP-CR1-14-02</x:v>
      </x:c>
      <x:c r="B35" s="5" t="str">
        <x:v>CR1.14</x:v>
      </x:c>
      <x:c r="C35" s="5" t="str">
        <x:v>Symmetric authentication</x:v>
      </x:c>
      <x:c r="D35" s="5" t="str">
        <x:v>Store the shared secret securely</x:v>
      </x:c>
      <x:c r="E35" s="5" t="str">
        <x:v>Mandatory</x:v>
      </x:c>
      <x:c r="F35" s="5" t="str">
        <x:v>All scoped component types; claimed SL-C for this FR &gt;= 1; feature conditions apply</x:v>
      </x:c>
      <x:c r="G35" s="5" t="n">
        <x:v>1</x:v>
      </x:c>
      <x:c r="H35" s="5" t="str">
        <x:v>5.16.1</x:v>
      </x:c>
      <x:c r="I35" s="5" t="str">
        <x:v>39-40</x:v>
      </x:c>
      <x:c r="J35" s="5" t="str">
        <x:v>37,38</x:v>
      </x:c>
      <x:c r="K35" s="5" t="str">
        <x:v>apps/ccli/third_party/libiec61850/hal/tls/mbedtls3; adapters/iec61850_mms/mms_adapter.cpp; adapters/iec60870_104/iec104_tls.cpp; cmake/tls_allowlist_validation.cmake</x:v>
      </x:c>
      <x:c r="L35" s="5" t="str">
        <x:v>HiTEKS security + Tespro platform</x:v>
      </x:c>
      <x:c r="M35" s="5" t="str">
        <x:v>Existing implementation area; requirement acceptance open</x:v>
      </x:c>
      <x:c r="N35" s="5" t="str">
        <x:v>Not demonstrated</x:v>
      </x:c>
      <x:c r="O35" s="5" t="str">
        <x:v>Frozen-build algorithm/policy tests, key handling review and negative negotiation evidence. Verify: Store the shared secret securely.</x:v>
      </x:c>
      <x:c r="P35" s="10" t="str"/>
      <x:c r="Q35" s="10" t="str">
        <x:v>Open</x:v>
      </x:c>
      <x:c r="R35" s="10" t="str"/>
      <x:c r="S35" s="10" t="str"/>
      <x:c r="T35" s="10" t="str"/>
      <x:c r="U35" s="5" t="str">
        <x:f>IF(Q35="Closed",IF(AND(R35&lt;&gt;"",S35&lt;&gt;""),"Closed recorded","Missing evidence/reviewer"),IF(Q35="N/A approved",IF(AND(T35&lt;&gt;"",S35&lt;&gt;""),"N/A recorded","Missing applicability approval"),"Open"))</x:f>
        <x:v>Open</x:v>
      </x:c>
      <x:c r="V35" s="5" t="str">
        <x:v>Normativa/IEC 62443-4-2-2019.pdf</x:v>
      </x:c>
      <x:c r="W35" s="5" t="str"/>
    </x:row>
    <x:row r="36" ht="36" customHeight="1">
      <x:c r="A36" s="5" t="str">
        <x:v>COMP-CR1-14-03</x:v>
      </x:c>
      <x:c r="B36" s="5" t="str">
        <x:v>CR1.14</x:v>
      </x:c>
      <x:c r="C36" s="5" t="str">
        <x:v>Symmetric authentication</x:v>
      </x:c>
      <x:c r="D36" s="5" t="str">
        <x:v>Restrict access to the shared secret</x:v>
      </x:c>
      <x:c r="E36" s="5" t="str">
        <x:v>Mandatory</x:v>
      </x:c>
      <x:c r="F36" s="5" t="str">
        <x:v>All scoped component types; claimed SL-C for this FR &gt;= 1; feature conditions apply</x:v>
      </x:c>
      <x:c r="G36" s="5" t="n">
        <x:v>1</x:v>
      </x:c>
      <x:c r="H36" s="5" t="str">
        <x:v>5.16.1</x:v>
      </x:c>
      <x:c r="I36" s="5" t="str">
        <x:v>39-40</x:v>
      </x:c>
      <x:c r="J36" s="5" t="str">
        <x:v>37,38</x:v>
      </x:c>
      <x:c r="K36" s="5" t="str">
        <x:v>apps/ccli/third_party/libiec61850/hal/tls/mbedtls3; adapters/iec61850_mms/mms_adapter.cpp; adapters/iec60870_104/iec104_tls.cpp; cmake/tls_allowlist_validation.cmake</x:v>
      </x:c>
      <x:c r="L36" s="5" t="str">
        <x:v>HiTEKS security + Tespro platform</x:v>
      </x:c>
      <x:c r="M36" s="5" t="str">
        <x:v>Existing implementation area; requirement acceptance open</x:v>
      </x:c>
      <x:c r="N36" s="5" t="str">
        <x:v>Not demonstrated</x:v>
      </x:c>
      <x:c r="O36" s="5" t="str">
        <x:v>Frozen-build algorithm/policy tests, key handling review and negative negotiation evidence. Verify: Restrict access to the shared secret.</x:v>
      </x:c>
      <x:c r="P36" s="10" t="str"/>
      <x:c r="Q36" s="10" t="str">
        <x:v>Open</x:v>
      </x:c>
      <x:c r="R36" s="10" t="str"/>
      <x:c r="S36" s="10" t="str"/>
      <x:c r="T36" s="10" t="str"/>
      <x:c r="U36" s="5" t="str">
        <x:f>IF(Q36="Closed",IF(AND(R36&lt;&gt;"",S36&lt;&gt;""),"Closed recorded","Missing evidence/reviewer"),IF(Q36="N/A approved",IF(AND(T36&lt;&gt;"",S36&lt;&gt;""),"N/A recorded","Missing applicability approval"),"Open"))</x:f>
        <x:v>Open</x:v>
      </x:c>
      <x:c r="V36" s="5" t="str">
        <x:v>Normativa/IEC 62443-4-2-2019.pdf</x:v>
      </x:c>
      <x:c r="W36" s="5" t="str"/>
    </x:row>
    <x:row r="37" ht="36" customHeight="1">
      <x:c r="A37" s="5" t="str">
        <x:v>COMP-CR1-14-04</x:v>
      </x:c>
      <x:c r="B37" s="5" t="str">
        <x:v>CR1.14</x:v>
      </x:c>
      <x:c r="C37" s="5" t="str">
        <x:v>Symmetric authentication</x:v>
      </x:c>
      <x:c r="D37" s="5" t="str">
        <x:v>Use CR4.3-compliant algorithms and keys</x:v>
      </x:c>
      <x:c r="E37" s="5" t="str">
        <x:v>Mandatory</x:v>
      </x:c>
      <x:c r="F37" s="5" t="str">
        <x:v>All scoped component types; claimed SL-C for this FR &gt;= 1; feature conditions apply</x:v>
      </x:c>
      <x:c r="G37" s="5" t="n">
        <x:v>1</x:v>
      </x:c>
      <x:c r="H37" s="5" t="str">
        <x:v>5.16.1</x:v>
      </x:c>
      <x:c r="I37" s="5" t="str">
        <x:v>39-40</x:v>
      </x:c>
      <x:c r="J37" s="5" t="str">
        <x:v>37,38</x:v>
      </x:c>
      <x:c r="K37" s="5" t="str">
        <x:v>apps/ccli/third_party/libiec61850/hal/tls/mbedtls3; adapters/iec61850_mms/mms_adapter.cpp; adapters/iec60870_104/iec104_tls.cpp; cmake/tls_allowlist_validation.cmake</x:v>
      </x:c>
      <x:c r="L37" s="5" t="str">
        <x:v>HiTEKS security + Tespro platform</x:v>
      </x:c>
      <x:c r="M37" s="5" t="str">
        <x:v>Existing implementation area; requirement acceptance open</x:v>
      </x:c>
      <x:c r="N37" s="5" t="str">
        <x:v>Not demonstrated</x:v>
      </x:c>
      <x:c r="O37" s="5" t="str">
        <x:v>Frozen-build algorithm/policy tests, key handling review and negative negotiation evidence. Verify: Use CR4.3-compliant algorithms and keys.</x:v>
      </x:c>
      <x:c r="P37" s="10" t="str"/>
      <x:c r="Q37" s="10" t="str">
        <x:v>Open</x:v>
      </x:c>
      <x:c r="R37" s="10" t="str"/>
      <x:c r="S37" s="10" t="str"/>
      <x:c r="T37" s="10" t="str"/>
      <x:c r="U37" s="5" t="str">
        <x:f>IF(Q37="Closed",IF(AND(R37&lt;&gt;"",S37&lt;&gt;""),"Closed recorded","Missing evidence/reviewer"),IF(Q37="N/A approved",IF(AND(T37&lt;&gt;"",S37&lt;&gt;""),"N/A recorded","Missing applicability approval"),"Open"))</x:f>
        <x:v>Open</x:v>
      </x:c>
      <x:c r="V37" s="5" t="str">
        <x:v>Normativa/IEC 62443-4-2-2019.pdf</x:v>
      </x:c>
      <x:c r="W37" s="5" t="str"/>
    </x:row>
    <x:row r="38" ht="47" customHeight="1">
      <x:c r="A38" s="5" t="str">
        <x:v>COMP-CR2-1-01</x:v>
      </x:c>
      <x:c r="B38" s="5" t="str">
        <x:v>CR2.1</x:v>
      </x:c>
      <x:c r="C38" s="5" t="str">
        <x:v>Authorization enforcement</x:v>
      </x:c>
      <x:c r="D38" s="5" t="str">
        <x:v>Enforce authorization for identified/authenticated human users according to assigned responsibilities and least privilege</x:v>
      </x:c>
      <x:c r="E38" s="5" t="str">
        <x:v>Mandatory</x:v>
      </x:c>
      <x:c r="F38" s="5" t="str">
        <x:v>All scoped component types; claimed SL-C for this FR &gt;= 1; feature conditions apply</x:v>
      </x:c>
      <x:c r="G38" s="5" t="n">
        <x:v>1</x:v>
      </x:c>
      <x:c r="H38" s="5" t="str">
        <x:v>6.3.1</x:v>
      </x:c>
      <x:c r="I38" s="5" t="str">
        <x:v>40-41</x:v>
      </x:c>
      <x:c r="J38" s="5" t="str">
        <x:v>38,39</x:v>
      </x:c>
      <x:c r="K38" s="5" t="str">
        <x:v>apps/ccli/adapters/iec61850_mms/mms_rbac.cpp; mms_xacml.cpp; mms_rbac_security.cpp; OpenWrt SSH/LuCI account/session configuration</x:v>
      </x:c>
      <x:c r="L38" s="5" t="str">
        <x:v>HiTEKS firmware and platform leads</x:v>
      </x:c>
      <x:c r="M38" s="5" t="str">
        <x:v>Existing implementation area; requirement acceptance open</x:v>
      </x:c>
      <x:c r="N38" s="5" t="str">
        <x:v>Basic DSO/Viewer path; expanded merged RBAC absent; acceptance open</x:v>
      </x:c>
      <x:c r="O38" s="5" t="str">
        <x:v>Role/service/interface matrix with allowed and denied operations and correlated audit records. Verify: Enforce authorization for identified/authenticated human users according to assigned responsibilities and least privilege.</x:v>
      </x:c>
      <x:c r="P38" s="10" t="str"/>
      <x:c r="Q38" s="10" t="str">
        <x:v>Open</x:v>
      </x:c>
      <x:c r="R38" s="10" t="str"/>
      <x:c r="S38" s="10" t="str"/>
      <x:c r="T38" s="10" t="str"/>
      <x:c r="U38" s="5" t="str">
        <x:f>IF(Q38="Closed",IF(AND(R38&lt;&gt;"",S38&lt;&gt;""),"Closed recorded","Missing evidence/reviewer"),IF(Q38="N/A approved",IF(AND(T38&lt;&gt;"",S38&lt;&gt;""),"N/A recorded","Missing applicability approval"),"Open"))</x:f>
        <x:v>Open</x:v>
      </x:c>
      <x:c r="V38" s="5" t="str">
        <x:v>Normativa/IEC 62443-4-2-2019.pdf</x:v>
      </x:c>
      <x:c r="W38" s="5" t="str"/>
    </x:row>
    <x:row r="39" ht="47" customHeight="1">
      <x:c r="A39" s="5" t="str">
        <x:v>COMP-CR2-2-01</x:v>
      </x:c>
      <x:c r="B39" s="5" t="str">
        <x:v>CR2.2</x:v>
      </x:c>
      <x:c r="C39" s="5" t="str">
        <x:v>Wireless usage</x:v>
      </x:c>
      <x:c r="D39" s="5" t="str">
        <x:v>Authorize, monitor and enforce wireless usage restrictions according to accepted security practices</x:v>
      </x:c>
      <x:c r="E39" s="5" t="str">
        <x:v>Mandatory</x:v>
      </x:c>
      <x:c r="F39" s="5" t="str">
        <x:v>All scoped component types; claimed SL-C for this FR &gt;= 1; feature conditions apply</x:v>
      </x:c>
      <x:c r="G39" s="5" t="n">
        <x:v>1</x:v>
      </x:c>
      <x:c r="H39" s="5" t="str">
        <x:v>6.4.1</x:v>
      </x:c>
      <x:c r="I39" s="5" t="str">
        <x:v>42</x:v>
      </x:c>
      <x:c r="J39" s="5" t="str">
        <x:v>40</x:v>
      </x:c>
      <x:c r="K39" s="5" t="str">
        <x:v>OpenWrt UCI/nftables and management listeners; core/policy/net_policy.cpp is a placeholder; effective OS policy is the enforcement point</x:v>
      </x:c>
      <x:c r="L39" s="5" t="str">
        <x:v>Tespro platform + HiTEKS integration</x:v>
      </x:c>
      <x:c r="M39" s="5" t="str">
        <x:v>Not demonstrated</x:v>
      </x:c>
      <x:c r="N39" s="5" t="str">
        <x:v>Not demonstrated</x:v>
      </x:c>
      <x:c r="O39" s="5" t="str">
        <x:v>Inspect effective firewall and test allowed/denied traffic, boot/reload persistence and failure paths. Verify: Authorize, monitor and enforce wireless usage restrictions according to accepted security practices.</x:v>
      </x:c>
      <x:c r="P39" s="10" t="str"/>
      <x:c r="Q39" s="10" t="str">
        <x:v>Open</x:v>
      </x:c>
      <x:c r="R39" s="10" t="str"/>
      <x:c r="S39" s="10" t="str"/>
      <x:c r="T39" s="10" t="str"/>
      <x:c r="U39" s="5" t="str">
        <x:f>IF(Q39="Closed",IF(AND(R39&lt;&gt;"",S39&lt;&gt;""),"Closed recorded","Missing evidence/reviewer"),IF(Q39="N/A approved",IF(AND(T39&lt;&gt;"",S39&lt;&gt;""),"N/A recorded","Missing applicability approval"),"Open"))</x:f>
        <x:v>Open</x:v>
      </x:c>
      <x:c r="V39" s="5" t="str">
        <x:v>Normativa/IEC 62443-4-2-2019.pdf</x:v>
      </x:c>
      <x:c r="W39" s="5" t="str"/>
    </x:row>
    <x:row r="40" ht="36" customHeight="1">
      <x:c r="A40" s="5" t="str">
        <x:v>COMP-CR2-5-01</x:v>
      </x:c>
      <x:c r="B40" s="5" t="str">
        <x:v>CR2.5</x:v>
      </x:c>
      <x:c r="C40" s="5" t="str">
        <x:v>Session lock</x:v>
      </x:c>
      <x:c r="D40" s="5" t="str">
        <x:v>Lock human sessions after configurable inactivity or manual initiation</x:v>
      </x:c>
      <x:c r="E40" s="5" t="str">
        <x:v>Mandatory</x:v>
      </x:c>
      <x:c r="F40" s="5" t="str">
        <x:v>All scoped component types; claimed SL-C for this FR &gt;= 1; feature conditions apply</x:v>
      </x:c>
      <x:c r="G40" s="5" t="n">
        <x:v>1</x:v>
      </x:c>
      <x:c r="H40" s="5" t="str">
        <x:v>6.7.1</x:v>
      </x:c>
      <x:c r="I40" s="5" t="str">
        <x:v>42-43</x:v>
      </x:c>
      <x:c r="J40" s="5" t="str">
        <x:v>40,41</x:v>
      </x:c>
      <x:c r="K40" s="5" t="str">
        <x:v>apps/ccli/adapters/iec61850_mms/mms_rbac.cpp; mms_xacml.cpp; mms_rbac_security.cpp; OpenWrt SSH/LuCI account/session configuration</x:v>
      </x:c>
      <x:c r="L40" s="5" t="str">
        <x:v>HiTEKS firmware and platform leads</x:v>
      </x:c>
      <x:c r="M40" s="5" t="str">
        <x:v>Existing implementation area; requirement acceptance open</x:v>
      </x:c>
      <x:c r="N40" s="5" t="str">
        <x:v>Basic DSO/Viewer path; expanded merged RBAC absent; acceptance open</x:v>
      </x:c>
      <x:c r="O40" s="5" t="str">
        <x:v>Role/service/interface matrix with allowed and denied operations and correlated audit records. Verify: Lock human sessions after configurable inactivity or manual initiation.</x:v>
      </x:c>
      <x:c r="P40" s="10" t="str"/>
      <x:c r="Q40" s="10" t="str">
        <x:v>Open</x:v>
      </x:c>
      <x:c r="R40" s="10" t="str"/>
      <x:c r="S40" s="10" t="str"/>
      <x:c r="T40" s="10" t="str"/>
      <x:c r="U40" s="5" t="str">
        <x:f>IF(Q40="Closed",IF(AND(R40&lt;&gt;"",S40&lt;&gt;""),"Closed recorded","Missing evidence/reviewer"),IF(Q40="N/A approved",IF(AND(T40&lt;&gt;"",S40&lt;&gt;""),"N/A recorded","Missing applicability approval"),"Open"))</x:f>
        <x:v>Open</x:v>
      </x:c>
      <x:c r="V40" s="5" t="str">
        <x:v>Normativa/IEC 62443-4-2-2019.pdf</x:v>
      </x:c>
      <x:c r="W40" s="5" t="str"/>
    </x:row>
    <x:row r="41" ht="36" customHeight="1">
      <x:c r="A41" s="5" t="str">
        <x:v>COMP-CR2-5-02</x:v>
      </x:c>
      <x:c r="B41" s="5" t="str">
        <x:v>CR2.5</x:v>
      </x:c>
      <x:c r="C41" s="5" t="str">
        <x:v>Session lock</x:v>
      </x:c>
      <x:c r="D41" s="5" t="str">
        <x:v>Keep lock in force until authorized access is reestablished</x:v>
      </x:c>
      <x:c r="E41" s="5" t="str">
        <x:v>Mandatory</x:v>
      </x:c>
      <x:c r="F41" s="5" t="str">
        <x:v>All scoped component types; claimed SL-C for this FR &gt;= 1; feature conditions apply</x:v>
      </x:c>
      <x:c r="G41" s="5" t="n">
        <x:v>1</x:v>
      </x:c>
      <x:c r="H41" s="5" t="str">
        <x:v>6.7.1</x:v>
      </x:c>
      <x:c r="I41" s="5" t="str">
        <x:v>42-43</x:v>
      </x:c>
      <x:c r="J41" s="5" t="str">
        <x:v>40,41</x:v>
      </x:c>
      <x:c r="K41" s="5" t="str">
        <x:v>apps/ccli/adapters/iec61850_mms/mms_rbac.cpp; mms_xacml.cpp; mms_rbac_security.cpp; OpenWrt SSH/LuCI account/session configuration</x:v>
      </x:c>
      <x:c r="L41" s="5" t="str">
        <x:v>HiTEKS firmware and platform leads</x:v>
      </x:c>
      <x:c r="M41" s="5" t="str">
        <x:v>Existing implementation area; requirement acceptance open</x:v>
      </x:c>
      <x:c r="N41" s="5" t="str">
        <x:v>Basic DSO/Viewer path; expanded merged RBAC absent; acceptance open</x:v>
      </x:c>
      <x:c r="O41" s="5" t="str">
        <x:v>Role/service/interface matrix with allowed and denied operations and correlated audit records. Verify: Keep lock in force until authorized access is reestablished.</x:v>
      </x:c>
      <x:c r="P41" s="10" t="str"/>
      <x:c r="Q41" s="10" t="str">
        <x:v>Open</x:v>
      </x:c>
      <x:c r="R41" s="10" t="str"/>
      <x:c r="S41" s="10" t="str"/>
      <x:c r="T41" s="10" t="str"/>
      <x:c r="U41" s="5" t="str">
        <x:f>IF(Q41="Closed",IF(AND(R41&lt;&gt;"",S41&lt;&gt;""),"Closed recorded","Missing evidence/reviewer"),IF(Q41="N/A approved",IF(AND(T41&lt;&gt;"",S41&lt;&gt;""),"N/A recorded","Missing applicability approval"),"Open"))</x:f>
        <x:v>Open</x:v>
      </x:c>
      <x:c r="V41" s="5" t="str">
        <x:v>Normativa/IEC 62443-4-2-2019.pdf</x:v>
      </x:c>
      <x:c r="W41" s="5" t="str"/>
    </x:row>
    <x:row r="42" ht="47" customHeight="1">
      <x:c r="A42" s="5" t="str">
        <x:v>COMP-CR2-6-01</x:v>
      </x:c>
      <x:c r="B42" s="5" t="str">
        <x:v>CR2.6</x:v>
      </x:c>
      <x:c r="C42" s="5" t="str">
        <x:v>Remote-session termination</x:v>
      </x:c>
      <x:c r="D42" s="5" t="str">
        <x:v>When remote sessions are supported, provide termination automatically after configurable inactivity, manually by local authority or manually by the initiating user/process/device</x:v>
      </x:c>
      <x:c r="E42" s="5" t="str">
        <x:v>Mandatory</x:v>
      </x:c>
      <x:c r="F42" s="5" t="str">
        <x:v>All scoped component types; claimed SL-C for this FR &gt;= 2; feature conditions apply</x:v>
      </x:c>
      <x:c r="G42" s="5" t="n">
        <x:v>2</x:v>
      </x:c>
      <x:c r="H42" s="5" t="str">
        <x:v>6.8.1</x:v>
      </x:c>
      <x:c r="I42" s="5" t="str">
        <x:v>43</x:v>
      </x:c>
      <x:c r="J42" s="5" t="str">
        <x:v>41</x:v>
      </x:c>
      <x:c r="K42" s="5" t="str">
        <x:v>apps/ccli/adapters/iec61850_mms/mms_rbac.cpp; mms_xacml.cpp; mms_rbac_security.cpp; OpenWrt SSH/LuCI account/session configuration</x:v>
      </x:c>
      <x:c r="L42" s="5" t="str">
        <x:v>HiTEKS firmware and platform leads</x:v>
      </x:c>
      <x:c r="M42" s="5" t="str">
        <x:v>Existing implementation area; requirement acceptance open</x:v>
      </x:c>
      <x:c r="N42" s="5" t="str">
        <x:v>Basic DSO/Viewer path; expanded merged RBAC absent; acceptance open</x:v>
      </x:c>
      <x:c r="O42" s="5" t="str">
        <x:v>Role/service/interface matrix with allowed and denied operations and correlated audit records. Verify: When remote sessions are supported, provide termination automatically after configurable inactivity, manually by local authority or manually by the initiating user/process/device.</x:v>
      </x:c>
      <x:c r="P42" s="10" t="str"/>
      <x:c r="Q42" s="10" t="str">
        <x:v>Open</x:v>
      </x:c>
      <x:c r="R42" s="10" t="str"/>
      <x:c r="S42" s="10" t="str"/>
      <x:c r="T42" s="10" t="str"/>
      <x:c r="U42" s="5" t="str">
        <x:f>IF(Q42="Closed",IF(AND(R42&lt;&gt;"",S42&lt;&gt;""),"Closed recorded","Missing evidence/reviewer"),IF(Q42="N/A approved",IF(AND(T42&lt;&gt;"",S42&lt;&gt;""),"N/A recorded","Missing applicability approval"),"Open"))</x:f>
        <x:v>Open</x:v>
      </x:c>
      <x:c r="V42" s="5" t="str">
        <x:v>Normativa/IEC 62443-4-2-2019.pdf</x:v>
      </x:c>
      <x:c r="W42" s="5" t="str"/>
    </x:row>
    <x:row r="43" ht="36" customHeight="1">
      <x:c r="A43" s="5" t="str">
        <x:v>COMP-CR2-7-01</x:v>
      </x:c>
      <x:c r="B43" s="5" t="str">
        <x:v>CR2.7</x:v>
      </x:c>
      <x:c r="C43" s="5" t="str">
        <x:v>Concurrent sessions</x:v>
      </x:c>
      <x:c r="D43" s="5" t="str">
        <x:v>Limit concurrent sessions per interface for each user to a configurable count</x:v>
      </x:c>
      <x:c r="E43" s="5" t="str">
        <x:v>Mandatory</x:v>
      </x:c>
      <x:c r="F43" s="5" t="str">
        <x:v>All scoped component types; claimed SL-C for this FR &gt;= 3; feature conditions apply</x:v>
      </x:c>
      <x:c r="G43" s="5" t="n">
        <x:v>3</x:v>
      </x:c>
      <x:c r="H43" s="5" t="str">
        <x:v>6.9.1</x:v>
      </x:c>
      <x:c r="I43" s="5" t="str">
        <x:v>43-44</x:v>
      </x:c>
      <x:c r="J43" s="5" t="str">
        <x:v>41,42</x:v>
      </x:c>
      <x:c r="K43" s="5" t="str">
        <x:v>apps/ccli/core/pf2; core/service/service_supervision.cpp; services/svc_io.c; package/ccli/files/ccli.init; OS resource/backup policy</x:v>
      </x:c>
      <x:c r="L43" s="5" t="str">
        <x:v>HiTEKS firmware + Tespro platform</x:v>
      </x:c>
      <x:c r="M43" s="5" t="str">
        <x:v>Existing implementation area; requirement acceptance open</x:v>
      </x:c>
      <x:c r="N43" s="5" t="str">
        <x:v>Not demonstrated</x:v>
      </x:c>
      <x:c r="O43" s="5" t="str">
        <x:v>Fault/flood/power-loss tests preserve defined essential functions and demonstrate secure recovery. Verify: Limit concurrent sessions per interface for each user to a configurable count.</x:v>
      </x:c>
      <x:c r="P43" s="10" t="str"/>
      <x:c r="Q43" s="10" t="str">
        <x:v>Open</x:v>
      </x:c>
      <x:c r="R43" s="10" t="str"/>
      <x:c r="S43" s="10" t="str"/>
      <x:c r="T43" s="10" t="str"/>
      <x:c r="U43" s="5" t="str">
        <x:f>IF(Q43="Closed",IF(AND(R43&lt;&gt;"",S43&lt;&gt;""),"Closed recorded","Missing evidence/reviewer"),IF(Q43="N/A approved",IF(AND(T43&lt;&gt;"",S43&lt;&gt;""),"N/A recorded","Missing applicability approval"),"Open"))</x:f>
        <x:v>Open</x:v>
      </x:c>
      <x:c r="V43" s="5" t="str">
        <x:v>Normativa/IEC 62443-4-2-2019.pdf</x:v>
      </x:c>
      <x:c r="W43" s="5" t="str"/>
    </x:row>
    <x:row r="44" ht="47" customHeight="1">
      <x:c r="A44" s="5" t="str">
        <x:v>COMP-CR2-8-01</x:v>
      </x:c>
      <x:c r="B44" s="5" t="str">
        <x:v>CR2.8</x:v>
      </x:c>
      <x:c r="C44" s="5" t="str">
        <x:v>Audit events</x:v>
      </x:c>
      <x:c r="D44" s="5" t="str">
        <x:v>Generate audit events for access control, request errors, control-system events, backup/restore, configuration changes and audit-log events</x:v>
      </x:c>
      <x:c r="E44" s="5" t="str">
        <x:v>Mandatory</x:v>
      </x:c>
      <x:c r="F44" s="5" t="str">
        <x:v>All scoped component types; claimed SL-C for this FR &gt;= 1; feature conditions apply</x:v>
      </x:c>
      <x:c r="G44" s="5" t="n">
        <x:v>1</x:v>
      </x:c>
      <x:c r="H44" s="5" t="str">
        <x:v>6.10.1</x:v>
      </x:c>
      <x:c r="I44" s="5" t="str">
        <x:v>44-45</x:v>
      </x:c>
      <x:c r="J44" s="5" t="str">
        <x:v>42,43</x:v>
      </x:c>
      <x:c r="K44" s="5" t="str">
        <x:v>apps/ccli/core/event/event_store.cpp; adapters/iec61850_mms/mms_adapter.cpp; OpenWrt logging/collector configuration</x:v>
      </x:c>
      <x:c r="L44" s="5" t="str">
        <x:v>HiTEKS firmware/platform leads</x:v>
      </x:c>
      <x:c r="M44" s="5" t="str">
        <x:v>Existing implementation area; requirement acceptance open</x:v>
      </x:c>
      <x:c r="N44" s="5" t="str">
        <x:v>Not demonstrated</x:v>
      </x:c>
      <x:c r="O44" s="5" t="str">
        <x:v>Generate required events; verify fields, permissions, retention, failure response and receiver records. Verify: Generate audit events for access control, request errors, control-system events, backup/restore, configuration changes and audit-log events.</x:v>
      </x:c>
      <x:c r="P44" s="10" t="str"/>
      <x:c r="Q44" s="10" t="str">
        <x:v>Open</x:v>
      </x:c>
      <x:c r="R44" s="10" t="str"/>
      <x:c r="S44" s="10" t="str"/>
      <x:c r="T44" s="10" t="str"/>
      <x:c r="U44" s="5" t="str">
        <x:f>IF(Q44="Closed",IF(AND(R44&lt;&gt;"",S44&lt;&gt;""),"Closed recorded","Missing evidence/reviewer"),IF(Q44="N/A approved",IF(AND(T44&lt;&gt;"",S44&lt;&gt;""),"N/A recorded","Missing applicability approval"),"Open"))</x:f>
        <x:v>Open</x:v>
      </x:c>
      <x:c r="V44" s="5" t="str">
        <x:v>Normativa/IEC 62443-4-2-2019.pdf</x:v>
      </x:c>
      <x:c r="W44" s="5" t="str"/>
    </x:row>
    <x:row r="45" ht="47" customHeight="1">
      <x:c r="A45" s="5" t="str">
        <x:v>COMP-CR2-8-02</x:v>
      </x:c>
      <x:c r="B45" s="5" t="str">
        <x:v>CR2.8</x:v>
      </x:c>
      <x:c r="C45" s="5" t="str">
        <x:v>Audit events</x:v>
      </x:c>
      <x:c r="D45" s="5" t="str">
        <x:v>Include timestamp, source/device/process/user identity, category, type, event ID and result in each record</x:v>
      </x:c>
      <x:c r="E45" s="5" t="str">
        <x:v>Mandatory</x:v>
      </x:c>
      <x:c r="F45" s="5" t="str">
        <x:v>All scoped component types; claimed SL-C for this FR &gt;= 1; feature conditions apply</x:v>
      </x:c>
      <x:c r="G45" s="5" t="n">
        <x:v>1</x:v>
      </x:c>
      <x:c r="H45" s="5" t="str">
        <x:v>6.10.1</x:v>
      </x:c>
      <x:c r="I45" s="5" t="str">
        <x:v>44-45</x:v>
      </x:c>
      <x:c r="J45" s="5" t="str">
        <x:v>42,43</x:v>
      </x:c>
      <x:c r="K45" s="5" t="str">
        <x:v>apps/ccli/core/event/event_store.cpp; adapters/iec61850_mms/mms_adapter.cpp; OpenWrt logging/collector configuration</x:v>
      </x:c>
      <x:c r="L45" s="5" t="str">
        <x:v>HiTEKS firmware/platform leads</x:v>
      </x:c>
      <x:c r="M45" s="5" t="str">
        <x:v>Existing implementation area; requirement acceptance open</x:v>
      </x:c>
      <x:c r="N45" s="5" t="str">
        <x:v>Not demonstrated</x:v>
      </x:c>
      <x:c r="O45" s="5" t="str">
        <x:v>Generate required events; verify fields, permissions, retention, failure response and receiver records. Verify: Include timestamp, source/device/process/user identity, category, type, event ID and result in each record.</x:v>
      </x:c>
      <x:c r="P45" s="10" t="str"/>
      <x:c r="Q45" s="10" t="str">
        <x:v>Open</x:v>
      </x:c>
      <x:c r="R45" s="10" t="str"/>
      <x:c r="S45" s="10" t="str"/>
      <x:c r="T45" s="10" t="str"/>
      <x:c r="U45" s="5" t="str">
        <x:f>IF(Q45="Closed",IF(AND(R45&lt;&gt;"",S45&lt;&gt;""),"Closed recorded","Missing evidence/reviewer"),IF(Q45="N/A approved",IF(AND(T45&lt;&gt;"",S45&lt;&gt;""),"N/A recorded","Missing applicability approval"),"Open"))</x:f>
        <x:v>Open</x:v>
      </x:c>
      <x:c r="V45" s="5" t="str">
        <x:v>Normativa/IEC 62443-4-2-2019.pdf</x:v>
      </x:c>
      <x:c r="W45" s="5" t="str"/>
    </x:row>
    <x:row r="46" ht="36" customHeight="1">
      <x:c r="A46" s="5" t="str">
        <x:v>COMP-CR2-9-01</x:v>
      </x:c>
      <x:c r="B46" s="5" t="str">
        <x:v>CR2.9</x:v>
      </x:c>
      <x:c r="C46" s="5" t="str">
        <x:v>Audit capacity</x:v>
      </x:c>
      <x:c r="D46" s="5" t="str">
        <x:v>Allocate audit storage according to accepted practices</x:v>
      </x:c>
      <x:c r="E46" s="5" t="str">
        <x:v>Mandatory</x:v>
      </x:c>
      <x:c r="F46" s="5" t="str">
        <x:v>All scoped component types; claimed SL-C for this FR &gt;= 1; feature conditions apply</x:v>
      </x:c>
      <x:c r="G46" s="5" t="n">
        <x:v>1</x:v>
      </x:c>
      <x:c r="H46" s="5" t="str">
        <x:v>6.11.1</x:v>
      </x:c>
      <x:c r="I46" s="5" t="str">
        <x:v>45</x:v>
      </x:c>
      <x:c r="J46" s="5" t="str">
        <x:v>43</x:v>
      </x:c>
      <x:c r="K46" s="5" t="str">
        <x:v>apps/ccli/core/event/event_store.cpp; adapters/iec61850_mms/mms_adapter.cpp; OpenWrt logging/collector configuration</x:v>
      </x:c>
      <x:c r="L46" s="5" t="str">
        <x:v>HiTEKS firmware/platform leads</x:v>
      </x:c>
      <x:c r="M46" s="5" t="str">
        <x:v>Existing implementation area; requirement acceptance open</x:v>
      </x:c>
      <x:c r="N46" s="5" t="str">
        <x:v>Not demonstrated</x:v>
      </x:c>
      <x:c r="O46" s="5" t="str">
        <x:v>Generate required events; verify fields, permissions, retention, failure response and receiver records. Verify: Allocate audit storage according to accepted practices.</x:v>
      </x:c>
      <x:c r="P46" s="10" t="str"/>
      <x:c r="Q46" s="10" t="str">
        <x:v>Open</x:v>
      </x:c>
      <x:c r="R46" s="10" t="str"/>
      <x:c r="S46" s="10" t="str"/>
      <x:c r="T46" s="10" t="str"/>
      <x:c r="U46" s="5" t="str">
        <x:f>IF(Q46="Closed",IF(AND(R46&lt;&gt;"",S46&lt;&gt;""),"Closed recorded","Missing evidence/reviewer"),IF(Q46="N/A approved",IF(AND(T46&lt;&gt;"",S46&lt;&gt;""),"N/A recorded","Missing applicability approval"),"Open"))</x:f>
        <x:v>Open</x:v>
      </x:c>
      <x:c r="V46" s="5" t="str">
        <x:v>Normativa/IEC 62443-4-2-2019.pdf</x:v>
      </x:c>
      <x:c r="W46" s="5" t="str"/>
    </x:row>
    <x:row r="47" ht="36" customHeight="1">
      <x:c r="A47" s="5" t="str">
        <x:v>COMP-CR2-9-02</x:v>
      </x:c>
      <x:c r="B47" s="5" t="str">
        <x:v>CR2.9</x:v>
      </x:c>
      <x:c r="C47" s="5" t="str">
        <x:v>Audit capacity</x:v>
      </x:c>
      <x:c r="D47" s="5" t="str">
        <x:v>Protect component operation against audit-storage exhaustion</x:v>
      </x:c>
      <x:c r="E47" s="5" t="str">
        <x:v>Mandatory</x:v>
      </x:c>
      <x:c r="F47" s="5" t="str">
        <x:v>All scoped component types; claimed SL-C for this FR &gt;= 1; feature conditions apply</x:v>
      </x:c>
      <x:c r="G47" s="5" t="n">
        <x:v>1</x:v>
      </x:c>
      <x:c r="H47" s="5" t="str">
        <x:v>6.11.1</x:v>
      </x:c>
      <x:c r="I47" s="5" t="str">
        <x:v>45</x:v>
      </x:c>
      <x:c r="J47" s="5" t="str">
        <x:v>43</x:v>
      </x:c>
      <x:c r="K47" s="5" t="str">
        <x:v>apps/ccli/core/event/event_store.cpp; adapters/iec61850_mms/mms_adapter.cpp; OpenWrt logging/collector configuration</x:v>
      </x:c>
      <x:c r="L47" s="5" t="str">
        <x:v>HiTEKS firmware/platform leads</x:v>
      </x:c>
      <x:c r="M47" s="5" t="str">
        <x:v>Existing implementation area; requirement acceptance open</x:v>
      </x:c>
      <x:c r="N47" s="5" t="str">
        <x:v>Not demonstrated</x:v>
      </x:c>
      <x:c r="O47" s="5" t="str">
        <x:v>Generate required events; verify fields, permissions, retention, failure response and receiver records. Verify: Protect component operation against audit-storage exhaustion.</x:v>
      </x:c>
      <x:c r="P47" s="10" t="str"/>
      <x:c r="Q47" s="10" t="str">
        <x:v>Open</x:v>
      </x:c>
      <x:c r="R47" s="10" t="str"/>
      <x:c r="S47" s="10" t="str"/>
      <x:c r="T47" s="10" t="str"/>
      <x:c r="U47" s="5" t="str">
        <x:f>IF(Q47="Closed",IF(AND(R47&lt;&gt;"",S47&lt;&gt;""),"Closed recorded","Missing evidence/reviewer"),IF(Q47="N/A approved",IF(AND(T47&lt;&gt;"",S47&lt;&gt;""),"N/A recorded","Missing applicability approval"),"Open"))</x:f>
        <x:v>Open</x:v>
      </x:c>
      <x:c r="V47" s="5" t="str">
        <x:v>Normativa/IEC 62443-4-2-2019.pdf</x:v>
      </x:c>
      <x:c r="W47" s="5" t="str"/>
    </x:row>
    <x:row r="48" ht="36" customHeight="1">
      <x:c r="A48" s="5" t="str">
        <x:v>COMP-CR2-10-01</x:v>
      </x:c>
      <x:c r="B48" s="5" t="str">
        <x:v>CR2.10</x:v>
      </x:c>
      <x:c r="C48" s="5" t="str">
        <x:v>Audit failure response</x:v>
      </x:c>
      <x:c r="D48" s="5" t="str">
        <x:v>Avoid loss of essential functions/services when audit processing fails</x:v>
      </x:c>
      <x:c r="E48" s="5" t="str">
        <x:v>Mandatory</x:v>
      </x:c>
      <x:c r="F48" s="5" t="str">
        <x:v>All scoped component types; claimed SL-C for this FR &gt;= 1; feature conditions apply</x:v>
      </x:c>
      <x:c r="G48" s="5" t="n">
        <x:v>1</x:v>
      </x:c>
      <x:c r="H48" s="5" t="str">
        <x:v>6.12.1</x:v>
      </x:c>
      <x:c r="I48" s="5" t="str">
        <x:v>45-46</x:v>
      </x:c>
      <x:c r="J48" s="5" t="str">
        <x:v>43,44</x:v>
      </x:c>
      <x:c r="K48" s="5" t="str">
        <x:v>apps/ccli/core/event/event_store.cpp; adapters/iec61850_mms/mms_adapter.cpp; OpenWrt logging/collector configuration</x:v>
      </x:c>
      <x:c r="L48" s="5" t="str">
        <x:v>HiTEKS firmware/platform leads</x:v>
      </x:c>
      <x:c r="M48" s="5" t="str">
        <x:v>Existing implementation area; requirement acceptance open</x:v>
      </x:c>
      <x:c r="N48" s="5" t="str">
        <x:v>Not demonstrated</x:v>
      </x:c>
      <x:c r="O48" s="5" t="str">
        <x:v>Generate required events; verify fields, permissions, retention, failure response and receiver records. Verify: Avoid loss of essential functions/services when audit processing fails.</x:v>
      </x:c>
      <x:c r="P48" s="10" t="str"/>
      <x:c r="Q48" s="10" t="str">
        <x:v>Open</x:v>
      </x:c>
      <x:c r="R48" s="10" t="str"/>
      <x:c r="S48" s="10" t="str"/>
      <x:c r="T48" s="10" t="str"/>
      <x:c r="U48" s="5" t="str">
        <x:f>IF(Q48="Closed",IF(AND(R48&lt;&gt;"",S48&lt;&gt;""),"Closed recorded","Missing evidence/reviewer"),IF(Q48="N/A approved",IF(AND(T48&lt;&gt;"",S48&lt;&gt;""),"N/A recorded","Missing applicability approval"),"Open"))</x:f>
        <x:v>Open</x:v>
      </x:c>
      <x:c r="V48" s="5" t="str">
        <x:v>Normativa/IEC 62443-4-2-2019.pdf</x:v>
      </x:c>
      <x:c r="W48" s="5" t="str"/>
    </x:row>
    <x:row r="49" ht="36" customHeight="1">
      <x:c r="A49" s="5" t="str">
        <x:v>COMP-CR2-10-02</x:v>
      </x:c>
      <x:c r="B49" s="5" t="str">
        <x:v>CR2.10</x:v>
      </x:c>
      <x:c r="C49" s="5" t="str">
        <x:v>Audit failure response</x:v>
      </x:c>
      <x:c r="D49" s="5" t="str">
        <x:v>Support appropriate audit-failure response actions</x:v>
      </x:c>
      <x:c r="E49" s="5" t="str">
        <x:v>Mandatory</x:v>
      </x:c>
      <x:c r="F49" s="5" t="str">
        <x:v>All scoped component types; claimed SL-C for this FR &gt;= 1; feature conditions apply</x:v>
      </x:c>
      <x:c r="G49" s="5" t="n">
        <x:v>1</x:v>
      </x:c>
      <x:c r="H49" s="5" t="str">
        <x:v>6.12.1</x:v>
      </x:c>
      <x:c r="I49" s="5" t="str">
        <x:v>45-46</x:v>
      </x:c>
      <x:c r="J49" s="5" t="str">
        <x:v>43,44</x:v>
      </x:c>
      <x:c r="K49" s="5" t="str">
        <x:v>apps/ccli/core/event/event_store.cpp; adapters/iec61850_mms/mms_adapter.cpp; OpenWrt logging/collector configuration</x:v>
      </x:c>
      <x:c r="L49" s="5" t="str">
        <x:v>HiTEKS firmware/platform leads</x:v>
      </x:c>
      <x:c r="M49" s="5" t="str">
        <x:v>Existing implementation area; requirement acceptance open</x:v>
      </x:c>
      <x:c r="N49" s="5" t="str">
        <x:v>Not demonstrated</x:v>
      </x:c>
      <x:c r="O49" s="5" t="str">
        <x:v>Generate required events; verify fields, permissions, retention, failure response and receiver records. Verify: Support appropriate audit-failure response actions.</x:v>
      </x:c>
      <x:c r="P49" s="10" t="str"/>
      <x:c r="Q49" s="10" t="str">
        <x:v>Open</x:v>
      </x:c>
      <x:c r="R49" s="10" t="str"/>
      <x:c r="S49" s="10" t="str"/>
      <x:c r="T49" s="10" t="str"/>
      <x:c r="U49" s="5" t="str">
        <x:f>IF(Q49="Closed",IF(AND(R49&lt;&gt;"",S49&lt;&gt;""),"Closed recorded","Missing evidence/reviewer"),IF(Q49="N/A approved",IF(AND(T49&lt;&gt;"",S49&lt;&gt;""),"N/A recorded","Missing applicability approval"),"Open"))</x:f>
        <x:v>Open</x:v>
      </x:c>
      <x:c r="V49" s="5" t="str">
        <x:v>Normativa/IEC 62443-4-2-2019.pdf</x:v>
      </x:c>
      <x:c r="W49" s="5" t="str"/>
    </x:row>
    <x:row r="50" ht="36" customHeight="1">
      <x:c r="A50" s="5" t="str">
        <x:v>COMP-CR2-11-01</x:v>
      </x:c>
      <x:c r="B50" s="5" t="str">
        <x:v>CR2.11</x:v>
      </x:c>
      <x:c r="C50" s="5" t="str">
        <x:v>Timestamps</x:v>
      </x:c>
      <x:c r="D50" s="5" t="str">
        <x:v>Provide timestamps for audit records including date and time</x:v>
      </x:c>
      <x:c r="E50" s="5" t="str">
        <x:v>Mandatory</x:v>
      </x:c>
      <x:c r="F50" s="5" t="str">
        <x:v>All scoped component types; claimed SL-C for this FR &gt;= 1; feature conditions apply</x:v>
      </x:c>
      <x:c r="G50" s="5" t="n">
        <x:v>1</x:v>
      </x:c>
      <x:c r="H50" s="5" t="str">
        <x:v>6.13.1</x:v>
      </x:c>
      <x:c r="I50" s="5" t="str">
        <x:v>46</x:v>
      </x:c>
      <x:c r="J50" s="5" t="str">
        <x:v>44</x:v>
      </x:c>
      <x:c r="K50" s="5" t="str">
        <x:v>apps/ccli/core/event/event_store.cpp; adapters/iec61850_mms/mms_adapter.cpp; OpenWrt logging/collector configuration</x:v>
      </x:c>
      <x:c r="L50" s="5" t="str">
        <x:v>HiTEKS firmware/platform leads</x:v>
      </x:c>
      <x:c r="M50" s="5" t="str">
        <x:v>Existing implementation area; requirement acceptance open</x:v>
      </x:c>
      <x:c r="N50" s="5" t="str">
        <x:v>Not demonstrated</x:v>
      </x:c>
      <x:c r="O50" s="5" t="str">
        <x:v>Generate required events; verify fields, permissions, retention, failure response and receiver records. Verify: Provide timestamps for audit records including date and time.</x:v>
      </x:c>
      <x:c r="P50" s="10" t="str"/>
      <x:c r="Q50" s="10" t="str">
        <x:v>Open</x:v>
      </x:c>
      <x:c r="R50" s="10" t="str"/>
      <x:c r="S50" s="10" t="str"/>
      <x:c r="T50" s="10" t="str"/>
      <x:c r="U50" s="5" t="str">
        <x:f>IF(Q50="Closed",IF(AND(R50&lt;&gt;"",S50&lt;&gt;""),"Closed recorded","Missing evidence/reviewer"),IF(Q50="N/A approved",IF(AND(T50&lt;&gt;"",S50&lt;&gt;""),"N/A recorded","Missing applicability approval"),"Open"))</x:f>
        <x:v>Open</x:v>
      </x:c>
      <x:c r="V50" s="5" t="str">
        <x:v>Normativa/IEC 62443-4-2-2019.pdf</x:v>
      </x:c>
      <x:c r="W50" s="5" t="str"/>
    </x:row>
    <x:row r="51" ht="36" customHeight="1">
      <x:c r="A51" s="5" t="str">
        <x:v>COMP-CR2-12-01</x:v>
      </x:c>
      <x:c r="B51" s="5" t="str">
        <x:v>CR2.12</x:v>
      </x:c>
      <x:c r="C51" s="5" t="str">
        <x:v>Non-repudiation</x:v>
      </x:c>
      <x:c r="D51" s="5" t="str">
        <x:v>Determine whether a particular human user performed a particular action</x:v>
      </x:c>
      <x:c r="E51" s="5" t="str">
        <x:v>Mandatory</x:v>
      </x:c>
      <x:c r="F51" s="5" t="str">
        <x:v>All scoped component types; claimed SL-C for this FR &gt;= 1; feature conditions apply</x:v>
      </x:c>
      <x:c r="G51" s="5" t="n">
        <x:v>1</x:v>
      </x:c>
      <x:c r="H51" s="5" t="str">
        <x:v>6.14.1</x:v>
      </x:c>
      <x:c r="I51" s="5" t="str">
        <x:v>47</x:v>
      </x:c>
      <x:c r="J51" s="5" t="str">
        <x:v>45</x:v>
      </x:c>
      <x:c r="K51" s="5" t="str">
        <x:v>apps/ccli/core/event/event_store.cpp; adapters/iec61850_mms/mms_adapter.cpp; OpenWrt logging/collector configuration</x:v>
      </x:c>
      <x:c r="L51" s="5" t="str">
        <x:v>HiTEKS firmware/platform leads</x:v>
      </x:c>
      <x:c r="M51" s="5" t="str">
        <x:v>Existing implementation area; requirement acceptance open</x:v>
      </x:c>
      <x:c r="N51" s="5" t="str">
        <x:v>Not demonstrated</x:v>
      </x:c>
      <x:c r="O51" s="5" t="str">
        <x:v>Generate required events; verify fields, permissions, retention, failure response and receiver records. Verify: Determine whether a particular human user performed a particular action.</x:v>
      </x:c>
      <x:c r="P51" s="10" t="str"/>
      <x:c r="Q51" s="10" t="str">
        <x:v>Open</x:v>
      </x:c>
      <x:c r="R51" s="10" t="str"/>
      <x:c r="S51" s="10" t="str"/>
      <x:c r="T51" s="10" t="str"/>
      <x:c r="U51" s="5" t="str">
        <x:f>IF(Q51="Closed",IF(AND(R51&lt;&gt;"",S51&lt;&gt;""),"Closed recorded","Missing evidence/reviewer"),IF(Q51="N/A approved",IF(AND(T51&lt;&gt;"",S51&lt;&gt;""),"N/A recorded","Missing applicability approval"),"Open"))</x:f>
        <x:v>Open</x:v>
      </x:c>
      <x:c r="V51" s="5" t="str">
        <x:v>Normativa/IEC 62443-4-2-2019.pdf</x:v>
      </x:c>
      <x:c r="W51" s="5" t="str"/>
    </x:row>
    <x:row r="52" ht="36" customHeight="1">
      <x:c r="A52" s="5" t="str">
        <x:v>COMP-CR3-1-01</x:v>
      </x:c>
      <x:c r="B52" s="5" t="str">
        <x:v>CR3.1</x:v>
      </x:c>
      <x:c r="C52" s="5" t="str">
        <x:v>Communication integrity</x:v>
      </x:c>
      <x:c r="D52" s="5" t="str">
        <x:v>Protect transmitted information integrity</x:v>
      </x:c>
      <x:c r="E52" s="5" t="str">
        <x:v>Mandatory</x:v>
      </x:c>
      <x:c r="F52" s="5" t="str">
        <x:v>All scoped component types; claimed SL-C for this FR &gt;= 1; feature conditions apply</x:v>
      </x:c>
      <x:c r="G52" s="5" t="n">
        <x:v>1</x:v>
      </x:c>
      <x:c r="H52" s="5" t="str">
        <x:v>7.3.1</x:v>
      </x:c>
      <x:c r="I52" s="5" t="str">
        <x:v>48-49</x:v>
      </x:c>
      <x:c r="J52" s="5" t="str">
        <x:v>46,47</x:v>
      </x:c>
      <x:c r="K52" s="5" t="str">
        <x:v>apps/ccli/third_party/libiec61850/hal/tls/mbedtls3; adapters/iec61850_mms/mms_adapter.cpp; adapters/iec60870_104/iec104_tls.cpp; cmake/tls_allowlist_validation.cmake</x:v>
      </x:c>
      <x:c r="L52" s="5" t="str">
        <x:v>HiTEKS security + Tespro platform</x:v>
      </x:c>
      <x:c r="M52" s="5" t="str">
        <x:v>Existing implementation area; requirement acceptance open</x:v>
      </x:c>
      <x:c r="N52" s="5" t="str">
        <x:v>Not demonstrated</x:v>
      </x:c>
      <x:c r="O52" s="5" t="str">
        <x:v>Frozen-build algorithm/policy tests, key handling review and negative negotiation evidence. Verify: Protect transmitted information integrity.</x:v>
      </x:c>
      <x:c r="P52" s="10" t="str"/>
      <x:c r="Q52" s="10" t="str">
        <x:v>Open</x:v>
      </x:c>
      <x:c r="R52" s="10" t="str"/>
      <x:c r="S52" s="10" t="str"/>
      <x:c r="T52" s="10" t="str"/>
      <x:c r="U52" s="5" t="str">
        <x:f>IF(Q52="Closed",IF(AND(R52&lt;&gt;"",S52&lt;&gt;""),"Closed recorded","Missing evidence/reviewer"),IF(Q52="N/A approved",IF(AND(T52&lt;&gt;"",S52&lt;&gt;""),"N/A recorded","Missing applicability approval"),"Open"))</x:f>
        <x:v>Open</x:v>
      </x:c>
      <x:c r="V52" s="5" t="str">
        <x:v>Normativa/IEC 62443-4-2-2019.pdf</x:v>
      </x:c>
      <x:c r="W52" s="5" t="str"/>
    </x:row>
    <x:row r="53" ht="36" customHeight="1">
      <x:c r="A53" s="5" t="str">
        <x:v>COMP-CR3-3-01</x:v>
      </x:c>
      <x:c r="B53" s="5" t="str">
        <x:v>CR3.3</x:v>
      </x:c>
      <x:c r="C53" s="5" t="str">
        <x:v>Security-function verification</x:v>
      </x:c>
      <x:c r="D53" s="5" t="str">
        <x:v>Support verification that security functions operate as intended</x:v>
      </x:c>
      <x:c r="E53" s="5" t="str">
        <x:v>Mandatory</x:v>
      </x:c>
      <x:c r="F53" s="5" t="str">
        <x:v>All scoped component types; claimed SL-C for this FR &gt;= 1; feature conditions apply</x:v>
      </x:c>
      <x:c r="G53" s="5" t="n">
        <x:v>1</x:v>
      </x:c>
      <x:c r="H53" s="5" t="str">
        <x:v>7.5.1</x:v>
      </x:c>
      <x:c r="I53" s="5" t="str">
        <x:v>49-50</x:v>
      </x:c>
      <x:c r="J53" s="5" t="str">
        <x:v>47,48</x:v>
      </x:c>
      <x:c r="K53" s="5" t="str">
        <x:v>apps/ccli/tests/unit; apps/ccli/tests/integration; lab/conformance; lab/evidence; independent-test records required</x:v>
      </x:c>
      <x:c r="L53" s="5" t="str">
        <x:v>Independent QA/security test lead</x:v>
      </x:c>
      <x:c r="M53" s="5" t="str">
        <x:v>Not demonstrated</x:v>
      </x:c>
      <x:c r="N53" s="5" t="str">
        <x:v>Not demonstrated</x:v>
      </x:c>
      <x:c r="O53" s="5" t="str">
        <x:v>Versioned test plan, raw positive/negative results, tester independence and closed defects. Verify: Support verification that security functions operate as intended.</x:v>
      </x:c>
      <x:c r="P53" s="10" t="str"/>
      <x:c r="Q53" s="10" t="str">
        <x:v>Open</x:v>
      </x:c>
      <x:c r="R53" s="10" t="str"/>
      <x:c r="S53" s="10" t="str"/>
      <x:c r="T53" s="10" t="str"/>
      <x:c r="U53" s="5" t="str">
        <x:f>IF(Q53="Closed",IF(AND(R53&lt;&gt;"",S53&lt;&gt;""),"Closed recorded","Missing evidence/reviewer"),IF(Q53="N/A approved",IF(AND(T53&lt;&gt;"",S53&lt;&gt;""),"N/A recorded","Missing applicability approval"),"Open"))</x:f>
        <x:v>Open</x:v>
      </x:c>
      <x:c r="V53" s="5" t="str">
        <x:v>Normativa/IEC 62443-4-2-2019.pdf</x:v>
      </x:c>
      <x:c r="W53" s="5" t="str"/>
    </x:row>
    <x:row r="54" ht="36" customHeight="1">
      <x:c r="A54" s="5" t="str">
        <x:v>COMP-CR3-3-02</x:v>
      </x:c>
      <x:c r="B54" s="5" t="str">
        <x:v>CR3.3</x:v>
      </x:c>
      <x:c r="C54" s="5" t="str">
        <x:v>Security-function verification</x:v>
      </x:c>
      <x:c r="D54" s="5" t="str">
        <x:v>Document verification capabilities and procedures</x:v>
      </x:c>
      <x:c r="E54" s="5" t="str">
        <x:v>Mandatory</x:v>
      </x:c>
      <x:c r="F54" s="5" t="str">
        <x:v>All scoped component types; claimed SL-C for this FR &gt;= 1; feature conditions apply</x:v>
      </x:c>
      <x:c r="G54" s="5" t="n">
        <x:v>1</x:v>
      </x:c>
      <x:c r="H54" s="5" t="str">
        <x:v>7.5.1</x:v>
      </x:c>
      <x:c r="I54" s="5" t="str">
        <x:v>49-50</x:v>
      </x:c>
      <x:c r="J54" s="5" t="str">
        <x:v>47,48</x:v>
      </x:c>
      <x:c r="K54" s="5" t="str">
        <x:v>apps/ccli/tests/unit; apps/ccli/tests/integration; lab/conformance; lab/evidence; independent-test records required</x:v>
      </x:c>
      <x:c r="L54" s="5" t="str">
        <x:v>Independent QA/security test lead</x:v>
      </x:c>
      <x:c r="M54" s="5" t="str">
        <x:v>Not demonstrated</x:v>
      </x:c>
      <x:c r="N54" s="5" t="str">
        <x:v>Not demonstrated</x:v>
      </x:c>
      <x:c r="O54" s="5" t="str">
        <x:v>Versioned test plan, raw positive/negative results, tester independence and closed defects. Verify: Document verification capabilities and procedures.</x:v>
      </x:c>
      <x:c r="P54" s="10" t="str"/>
      <x:c r="Q54" s="10" t="str">
        <x:v>Open</x:v>
      </x:c>
      <x:c r="R54" s="10" t="str"/>
      <x:c r="S54" s="10" t="str"/>
      <x:c r="T54" s="10" t="str"/>
      <x:c r="U54" s="5" t="str">
        <x:f>IF(Q54="Closed",IF(AND(R54&lt;&gt;"",S54&lt;&gt;""),"Closed recorded","Missing evidence/reviewer"),IF(Q54="N/A approved",IF(AND(T54&lt;&gt;"",S54&lt;&gt;""),"N/A recorded","Missing applicability approval"),"Open"))</x:f>
        <x:v>Open</x:v>
      </x:c>
      <x:c r="V54" s="5" t="str">
        <x:v>Normativa/IEC 62443-4-2-2019.pdf</x:v>
      </x:c>
      <x:c r="W54" s="5" t="str"/>
    </x:row>
    <x:row r="55" ht="36" customHeight="1">
      <x:c r="A55" s="5" t="str">
        <x:v>COMP-CR3-4-01</x:v>
      </x:c>
      <x:c r="B55" s="5" t="str">
        <x:v>CR3.4</x:v>
      </x:c>
      <x:c r="C55" s="5" t="str">
        <x:v>Software/information integrity</x:v>
      </x:c>
      <x:c r="D55" s="5" t="str">
        <x:v>Perform/support integrity checks on software, configuration and other information</x:v>
      </x:c>
      <x:c r="E55" s="5" t="str">
        <x:v>Mandatory</x:v>
      </x:c>
      <x:c r="F55" s="5" t="str">
        <x:v>All scoped component types; claimed SL-C for this FR &gt;= 1; feature conditions apply</x:v>
      </x:c>
      <x:c r="G55" s="5" t="n">
        <x:v>1</x:v>
      </x:c>
      <x:c r="H55" s="5" t="str">
        <x:v>7.6.1</x:v>
      </x:c>
      <x:c r="I55" s="5" t="str">
        <x:v>50</x:v>
      </x:c>
      <x:c r="J55" s="5" t="str">
        <x:v>48</x:v>
      </x:c>
      <x:c r="K55" s="5" t="str">
        <x:v>Tespro BootROM/bootloader/rootfs/recovery and fuse policy; apps/firmware-updater public TPM trust is not a complete boot chain</x:v>
      </x:c>
      <x:c r="L55" s="5" t="str">
        <x:v>Tespro platform + HiTEKS acceptance</x:v>
      </x:c>
      <x:c r="M55" s="5" t="str">
        <x:v>Not demonstrated</x:v>
      </x:c>
      <x:c r="N55" s="5" t="str">
        <x:v>Not demonstrated</x:v>
      </x:c>
      <x:c r="O55" s="5" t="str">
        <x:v>Exact production board/image tests reject altered/unauthorized boot inputs and prove protected trust. Verify: Perform/support integrity checks on software, configuration and other information.</x:v>
      </x:c>
      <x:c r="P55" s="10" t="str"/>
      <x:c r="Q55" s="10" t="str">
        <x:v>Open</x:v>
      </x:c>
      <x:c r="R55" s="10" t="str"/>
      <x:c r="S55" s="10" t="str"/>
      <x:c r="T55" s="10" t="str"/>
      <x:c r="U55" s="5" t="str">
        <x:f>IF(Q55="Closed",IF(AND(R55&lt;&gt;"",S55&lt;&gt;""),"Closed recorded","Missing evidence/reviewer"),IF(Q55="N/A approved",IF(AND(T55&lt;&gt;"",S55&lt;&gt;""),"N/A recorded","Missing applicability approval"),"Open"))</x:f>
        <x:v>Open</x:v>
      </x:c>
      <x:c r="V55" s="5" t="str">
        <x:v>Normativa/IEC 62443-4-2-2019.pdf</x:v>
      </x:c>
      <x:c r="W55" s="5" t="str"/>
    </x:row>
    <x:row r="56" ht="36" customHeight="1">
      <x:c r="A56" s="5" t="str">
        <x:v>COMP-CR3-4-02</x:v>
      </x:c>
      <x:c r="B56" s="5" t="str">
        <x:v>CR3.4</x:v>
      </x:c>
      <x:c r="C56" s="5" t="str">
        <x:v>Software/information integrity</x:v>
      </x:c>
      <x:c r="D56" s="5" t="str">
        <x:v>Record/report integrity-check results or integrate with a system providing these capabilities</x:v>
      </x:c>
      <x:c r="E56" s="5" t="str">
        <x:v>Mandatory</x:v>
      </x:c>
      <x:c r="F56" s="5" t="str">
        <x:v>All scoped component types; claimed SL-C for this FR &gt;= 1; feature conditions apply</x:v>
      </x:c>
      <x:c r="G56" s="5" t="n">
        <x:v>1</x:v>
      </x:c>
      <x:c r="H56" s="5" t="str">
        <x:v>7.6.1</x:v>
      </x:c>
      <x:c r="I56" s="5" t="str">
        <x:v>50</x:v>
      </x:c>
      <x:c r="J56" s="5" t="str">
        <x:v>48</x:v>
      </x:c>
      <x:c r="K56" s="5" t="str">
        <x:v>Tespro BootROM/bootloader/rootfs/recovery and fuse policy; apps/firmware-updater public TPM trust is not a complete boot chain</x:v>
      </x:c>
      <x:c r="L56" s="5" t="str">
        <x:v>Tespro platform + HiTEKS acceptance</x:v>
      </x:c>
      <x:c r="M56" s="5" t="str">
        <x:v>Not demonstrated</x:v>
      </x:c>
      <x:c r="N56" s="5" t="str">
        <x:v>Not demonstrated</x:v>
      </x:c>
      <x:c r="O56" s="5" t="str">
        <x:v>Exact production board/image tests reject altered/unauthorized boot inputs and prove protected trust. Verify: Record/report integrity-check results or integrate with a system providing these capabilities.</x:v>
      </x:c>
      <x:c r="P56" s="10" t="str"/>
      <x:c r="Q56" s="10" t="str">
        <x:v>Open</x:v>
      </x:c>
      <x:c r="R56" s="10" t="str"/>
      <x:c r="S56" s="10" t="str"/>
      <x:c r="T56" s="10" t="str"/>
      <x:c r="U56" s="5" t="str">
        <x:f>IF(Q56="Closed",IF(AND(R56&lt;&gt;"",S56&lt;&gt;""),"Closed recorded","Missing evidence/reviewer"),IF(Q56="N/A approved",IF(AND(T56&lt;&gt;"",S56&lt;&gt;""),"N/A recorded","Missing applicability approval"),"Open"))</x:f>
        <x:v>Open</x:v>
      </x:c>
      <x:c r="V56" s="5" t="str">
        <x:v>Normativa/IEC 62443-4-2-2019.pdf</x:v>
      </x:c>
      <x:c r="W56" s="5" t="str"/>
    </x:row>
    <x:row r="57" ht="36" customHeight="1">
      <x:c r="A57" s="5" t="str">
        <x:v>COMP-CR3-5-01</x:v>
      </x:c>
      <x:c r="B57" s="5" t="str">
        <x:v>CR3.5</x:v>
      </x:c>
      <x:c r="C57" s="5" t="str">
        <x:v>Input validation</x:v>
      </x:c>
      <x:c r="D57" s="5" t="str">
        <x:v>Validate syntax, length and content of external input used as industrial-process or management input</x:v>
      </x:c>
      <x:c r="E57" s="5" t="str">
        <x:v>Mandatory</x:v>
      </x:c>
      <x:c r="F57" s="5" t="str">
        <x:v>All scoped component types; claimed SL-C for this FR &gt;= 1; feature conditions apply</x:v>
      </x:c>
      <x:c r="G57" s="5" t="n">
        <x:v>1</x:v>
      </x:c>
      <x:c r="H57" s="5" t="str">
        <x:v>7.7.1</x:v>
      </x:c>
      <x:c r="I57" s="5" t="str">
        <x:v>50-51</x:v>
      </x:c>
      <x:c r="J57" s="5" t="str">
        <x:v>48,49</x:v>
      </x:c>
      <x:c r="K57" s="5" t="str">
        <x:v>apps/ccli/core; apps/ccli/adapters; apps/ccli/CMakeLists.txt; apps/ccli/tests/unit; CI/code-review work required</x:v>
      </x:c>
      <x:c r="L57" s="5" t="str">
        <x:v>HiTEKS firmware lead</x:v>
      </x:c>
      <x:c r="M57" s="5" t="str">
        <x:v>Existing implementation area; requirement acceptance open</x:v>
      </x:c>
      <x:c r="N57" s="5" t="str">
        <x:v>Not demonstrated</x:v>
      </x:c>
      <x:c r="O57" s="5" t="str">
        <x:v>Review record plus reproducible automated analysis/regression results for the frozen source. Verify: Validate syntax, length and content of external input used as industrial-process or management input.</x:v>
      </x:c>
      <x:c r="P57" s="10" t="str"/>
      <x:c r="Q57" s="10" t="str">
        <x:v>Open</x:v>
      </x:c>
      <x:c r="R57" s="10" t="str"/>
      <x:c r="S57" s="10" t="str"/>
      <x:c r="T57" s="10" t="str"/>
      <x:c r="U57" s="5" t="str">
        <x:f>IF(Q57="Closed",IF(AND(R57&lt;&gt;"",S57&lt;&gt;""),"Closed recorded","Missing evidence/reviewer"),IF(Q57="N/A approved",IF(AND(T57&lt;&gt;"",S57&lt;&gt;""),"N/A recorded","Missing applicability approval"),"Open"))</x:f>
        <x:v>Open</x:v>
      </x:c>
      <x:c r="V57" s="5" t="str">
        <x:v>Normativa/IEC 62443-4-2-2019.pdf</x:v>
      </x:c>
      <x:c r="W57" s="5" t="str"/>
    </x:row>
    <x:row r="58" ht="47" customHeight="1">
      <x:c r="A58" s="5" t="str">
        <x:v>COMP-CR3-6-01</x:v>
      </x:c>
      <x:c r="B58" s="5" t="str">
        <x:v>CR3.6</x:v>
      </x:c>
      <x:c r="C58" s="5" t="str">
        <x:v>Deterministic outputs</x:v>
      </x:c>
      <x:c r="D58" s="5" t="str">
        <x:v>For a component connected physically/logically to the process, set outputs to a predetermined state whenever supplier-defined normal operation cannot be maintained</x:v>
      </x:c>
      <x:c r="E58" s="5" t="str">
        <x:v>Mandatory</x:v>
      </x:c>
      <x:c r="F58" s="5" t="str">
        <x:v>All scoped component types; claimed SL-C for this FR &gt;= 1; feature conditions apply</x:v>
      </x:c>
      <x:c r="G58" s="5" t="n">
        <x:v>1</x:v>
      </x:c>
      <x:c r="H58" s="5" t="str">
        <x:v>7.8.1</x:v>
      </x:c>
      <x:c r="I58" s="5" t="str">
        <x:v>51-52</x:v>
      </x:c>
      <x:c r="J58" s="5" t="str">
        <x:v>49,50</x:v>
      </x:c>
      <x:c r="K58" s="5" t="str">
        <x:v>apps/ccli/core/pf2; core/service/service_supervision.cpp; services/svc_io.c; package/ccli/files/ccli.init; OS resource/backup policy</x:v>
      </x:c>
      <x:c r="L58" s="5" t="str">
        <x:v>HiTEKS firmware + Tespro platform</x:v>
      </x:c>
      <x:c r="M58" s="5" t="str">
        <x:v>Existing implementation area; requirement acceptance open</x:v>
      </x:c>
      <x:c r="N58" s="5" t="str">
        <x:v>Not demonstrated</x:v>
      </x:c>
      <x:c r="O58" s="5" t="str">
        <x:v>Fault/flood/power-loss tests preserve defined essential functions and demonstrate secure recovery. Verify: For a component connected physically/logically to the process, set outputs to a predetermined state whenever supplier-defined normal operation cannot be maintained.</x:v>
      </x:c>
      <x:c r="P58" s="10" t="str"/>
      <x:c r="Q58" s="10" t="str">
        <x:v>Open</x:v>
      </x:c>
      <x:c r="R58" s="10" t="str"/>
      <x:c r="S58" s="10" t="str"/>
      <x:c r="T58" s="10" t="str"/>
      <x:c r="U58" s="5" t="str">
        <x:f>IF(Q58="Closed",IF(AND(R58&lt;&gt;"",S58&lt;&gt;""),"Closed recorded","Missing evidence/reviewer"),IF(Q58="N/A approved",IF(AND(T58&lt;&gt;"",S58&lt;&gt;""),"N/A recorded","Missing applicability approval"),"Open"))</x:f>
        <x:v>Open</x:v>
      </x:c>
      <x:c r="V58" s="5" t="str">
        <x:v>Normativa/IEC 62443-4-2-2019.pdf</x:v>
      </x:c>
      <x:c r="W58" s="5" t="str"/>
    </x:row>
    <x:row r="59" ht="36" customHeight="1">
      <x:c r="A59" s="5" t="str">
        <x:v>COMP-CR3-7-01</x:v>
      </x:c>
      <x:c r="B59" s="5" t="str">
        <x:v>CR3.7</x:v>
      </x:c>
      <x:c r="C59" s="5" t="str">
        <x:v>Error handling</x:v>
      </x:c>
      <x:c r="D59" s="5" t="str">
        <x:v>Handle errors without disclosing information usable by an attacker</x:v>
      </x:c>
      <x:c r="E59" s="5" t="str">
        <x:v>Mandatory</x:v>
      </x:c>
      <x:c r="F59" s="5" t="str">
        <x:v>All scoped component types; claimed SL-C for this FR &gt;= 1; feature conditions apply</x:v>
      </x:c>
      <x:c r="G59" s="5" t="n">
        <x:v>1</x:v>
      </x:c>
      <x:c r="H59" s="5" t="str">
        <x:v>7.9.1</x:v>
      </x:c>
      <x:c r="I59" s="5" t="str">
        <x:v>52</x:v>
      </x:c>
      <x:c r="J59" s="5" t="str">
        <x:v>50</x:v>
      </x:c>
      <x:c r="K59" s="5" t="str">
        <x:v>apps/ccli/core; apps/ccli/adapters; apps/ccli/CMakeLists.txt; apps/ccli/tests/unit; CI/code-review work required</x:v>
      </x:c>
      <x:c r="L59" s="5" t="str">
        <x:v>HiTEKS firmware lead</x:v>
      </x:c>
      <x:c r="M59" s="5" t="str">
        <x:v>Existing implementation area; requirement acceptance open</x:v>
      </x:c>
      <x:c r="N59" s="5" t="str">
        <x:v>Not demonstrated</x:v>
      </x:c>
      <x:c r="O59" s="5" t="str">
        <x:v>Review record plus reproducible automated analysis/regression results for the frozen source. Verify: Handle errors without disclosing information usable by an attacker.</x:v>
      </x:c>
      <x:c r="P59" s="10" t="str"/>
      <x:c r="Q59" s="10" t="str">
        <x:v>Open</x:v>
      </x:c>
      <x:c r="R59" s="10" t="str"/>
      <x:c r="S59" s="10" t="str"/>
      <x:c r="T59" s="10" t="str"/>
      <x:c r="U59" s="5" t="str">
        <x:f>IF(Q59="Closed",IF(AND(R59&lt;&gt;"",S59&lt;&gt;""),"Closed recorded","Missing evidence/reviewer"),IF(Q59="N/A approved",IF(AND(T59&lt;&gt;"",S59&lt;&gt;""),"N/A recorded","Missing applicability approval"),"Open"))</x:f>
        <x:v>Open</x:v>
      </x:c>
      <x:c r="V59" s="5" t="str">
        <x:v>Normativa/IEC 62443-4-2-2019.pdf</x:v>
      </x:c>
      <x:c r="W59" s="5" t="str"/>
    </x:row>
    <x:row r="60" ht="36" customHeight="1">
      <x:c r="A60" s="5" t="str">
        <x:v>COMP-CR3-8-01</x:v>
      </x:c>
      <x:c r="B60" s="5" t="str">
        <x:v>CR3.8</x:v>
      </x:c>
      <x:c r="C60" s="5" t="str">
        <x:v>Session integrity</x:v>
      </x:c>
      <x:c r="D60" s="5" t="str">
        <x:v>Protect communication-session integrity</x:v>
      </x:c>
      <x:c r="E60" s="5" t="str">
        <x:v>Mandatory</x:v>
      </x:c>
      <x:c r="F60" s="5" t="str">
        <x:v>All scoped component types; claimed SL-C for this FR &gt;= 2; feature conditions apply</x:v>
      </x:c>
      <x:c r="G60" s="5" t="n">
        <x:v>2</x:v>
      </x:c>
      <x:c r="H60" s="5" t="str">
        <x:v>7.10.1</x:v>
      </x:c>
      <x:c r="I60" s="5" t="str">
        <x:v>52-53</x:v>
      </x:c>
      <x:c r="J60" s="5" t="str">
        <x:v>50,51</x:v>
      </x:c>
      <x:c r="K60" s="5" t="str">
        <x:v>apps/ccli/third_party/libiec61850/hal/tls/mbedtls3; adapters/iec61850_mms/mms_adapter.cpp; adapters/iec60870_104/iec104_tls.cpp; cmake/tls_allowlist_validation.cmake</x:v>
      </x:c>
      <x:c r="L60" s="5" t="str">
        <x:v>HiTEKS security + Tespro platform</x:v>
      </x:c>
      <x:c r="M60" s="5" t="str">
        <x:v>Existing implementation area; requirement acceptance open</x:v>
      </x:c>
      <x:c r="N60" s="5" t="str">
        <x:v>Not demonstrated</x:v>
      </x:c>
      <x:c r="O60" s="5" t="str">
        <x:v>Frozen-build algorithm/policy tests, key handling review and negative negotiation evidence. Verify: Protect communication-session integrity.</x:v>
      </x:c>
      <x:c r="P60" s="10" t="str"/>
      <x:c r="Q60" s="10" t="str">
        <x:v>Open</x:v>
      </x:c>
      <x:c r="R60" s="10" t="str"/>
      <x:c r="S60" s="10" t="str"/>
      <x:c r="T60" s="10" t="str"/>
      <x:c r="U60" s="5" t="str">
        <x:f>IF(Q60="Closed",IF(AND(R60&lt;&gt;"",S60&lt;&gt;""),"Closed recorded","Missing evidence/reviewer"),IF(Q60="N/A approved",IF(AND(T60&lt;&gt;"",S60&lt;&gt;""),"N/A recorded","Missing applicability approval"),"Open"))</x:f>
        <x:v>Open</x:v>
      </x:c>
      <x:c r="V60" s="5" t="str">
        <x:v>Normativa/IEC 62443-4-2-2019.pdf</x:v>
      </x:c>
      <x:c r="W60" s="5" t="str"/>
    </x:row>
    <x:row r="61" ht="36" customHeight="1">
      <x:c r="A61" s="5" t="str">
        <x:v>COMP-CR3-8-02</x:v>
      </x:c>
      <x:c r="B61" s="5" t="str">
        <x:v>CR3.8</x:v>
      </x:c>
      <x:c r="C61" s="5" t="str">
        <x:v>Session integrity</x:v>
      </x:c>
      <x:c r="D61" s="5" t="str">
        <x:v>Recognize only system-generated session identifiers</x:v>
      </x:c>
      <x:c r="E61" s="5" t="str">
        <x:v>Mandatory</x:v>
      </x:c>
      <x:c r="F61" s="5" t="str">
        <x:v>All scoped component types; claimed SL-C for this FR &gt;= 2; feature conditions apply</x:v>
      </x:c>
      <x:c r="G61" s="5" t="n">
        <x:v>2</x:v>
      </x:c>
      <x:c r="H61" s="5" t="str">
        <x:v>7.10.1</x:v>
      </x:c>
      <x:c r="I61" s="5" t="str">
        <x:v>52-53</x:v>
      </x:c>
      <x:c r="J61" s="5" t="str">
        <x:v>50,51</x:v>
      </x:c>
      <x:c r="K61" s="5" t="str">
        <x:v>apps/ccli/third_party/libiec61850/hal/tls/mbedtls3; adapters/iec61850_mms/mms_adapter.cpp; adapters/iec60870_104/iec104_tls.cpp; cmake/tls_allowlist_validation.cmake</x:v>
      </x:c>
      <x:c r="L61" s="5" t="str">
        <x:v>HiTEKS security + Tespro platform</x:v>
      </x:c>
      <x:c r="M61" s="5" t="str">
        <x:v>Existing implementation area; requirement acceptance open</x:v>
      </x:c>
      <x:c r="N61" s="5" t="str">
        <x:v>Not demonstrated</x:v>
      </x:c>
      <x:c r="O61" s="5" t="str">
        <x:v>Frozen-build algorithm/policy tests, key handling review and negative negotiation evidence. Verify: Recognize only system-generated session identifiers.</x:v>
      </x:c>
      <x:c r="P61" s="10" t="str"/>
      <x:c r="Q61" s="10" t="str">
        <x:v>Open</x:v>
      </x:c>
      <x:c r="R61" s="10" t="str"/>
      <x:c r="S61" s="10" t="str"/>
      <x:c r="T61" s="10" t="str"/>
      <x:c r="U61" s="5" t="str">
        <x:f>IF(Q61="Closed",IF(AND(R61&lt;&gt;"",S61&lt;&gt;""),"Closed recorded","Missing evidence/reviewer"),IF(Q61="N/A approved",IF(AND(T61&lt;&gt;"",S61&lt;&gt;""),"N/A recorded","Missing applicability approval"),"Open"))</x:f>
        <x:v>Open</x:v>
      </x:c>
      <x:c r="V61" s="5" t="str">
        <x:v>Normativa/IEC 62443-4-2-2019.pdf</x:v>
      </x:c>
      <x:c r="W61" s="5" t="str"/>
    </x:row>
    <x:row r="62" ht="36" customHeight="1">
      <x:c r="A62" s="5" t="str">
        <x:v>COMP-CR3-8-03</x:v>
      </x:c>
      <x:c r="B62" s="5" t="str">
        <x:v>CR3.8</x:v>
      </x:c>
      <x:c r="C62" s="5" t="str">
        <x:v>Session integrity</x:v>
      </x:c>
      <x:c r="D62" s="5" t="str">
        <x:v>Invalidate identifiers on logout/session termination including browser sessions</x:v>
      </x:c>
      <x:c r="E62" s="5" t="str">
        <x:v>Mandatory</x:v>
      </x:c>
      <x:c r="F62" s="5" t="str">
        <x:v>All scoped component types; claimed SL-C for this FR &gt;= 2; feature conditions apply</x:v>
      </x:c>
      <x:c r="G62" s="5" t="n">
        <x:v>2</x:v>
      </x:c>
      <x:c r="H62" s="5" t="str">
        <x:v>7.10.1</x:v>
      </x:c>
      <x:c r="I62" s="5" t="str">
        <x:v>52-53</x:v>
      </x:c>
      <x:c r="J62" s="5" t="str">
        <x:v>50,51</x:v>
      </x:c>
      <x:c r="K62" s="5" t="str">
        <x:v>apps/ccli/third_party/libiec61850/hal/tls/mbedtls3; adapters/iec61850_mms/mms_adapter.cpp; adapters/iec60870_104/iec104_tls.cpp; cmake/tls_allowlist_validation.cmake</x:v>
      </x:c>
      <x:c r="L62" s="5" t="str">
        <x:v>HiTEKS security + Tespro platform</x:v>
      </x:c>
      <x:c r="M62" s="5" t="str">
        <x:v>Existing implementation area; requirement acceptance open</x:v>
      </x:c>
      <x:c r="N62" s="5" t="str">
        <x:v>Not demonstrated</x:v>
      </x:c>
      <x:c r="O62" s="5" t="str">
        <x:v>Frozen-build algorithm/policy tests, key handling review and negative negotiation evidence. Verify: Invalidate identifiers on logout/session termination including browser sessions.</x:v>
      </x:c>
      <x:c r="P62" s="10" t="str"/>
      <x:c r="Q62" s="10" t="str">
        <x:v>Open</x:v>
      </x:c>
      <x:c r="R62" s="10" t="str"/>
      <x:c r="S62" s="10" t="str"/>
      <x:c r="T62" s="10" t="str"/>
      <x:c r="U62" s="5" t="str">
        <x:f>IF(Q62="Closed",IF(AND(R62&lt;&gt;"",S62&lt;&gt;""),"Closed recorded","Missing evidence/reviewer"),IF(Q62="N/A approved",IF(AND(T62&lt;&gt;"",S62&lt;&gt;""),"N/A recorded","Missing applicability approval"),"Open"))</x:f>
        <x:v>Open</x:v>
      </x:c>
      <x:c r="V62" s="5" t="str">
        <x:v>Normativa/IEC 62443-4-2-2019.pdf</x:v>
      </x:c>
      <x:c r="W62" s="5" t="str"/>
    </x:row>
    <x:row r="63" ht="36" customHeight="1">
      <x:c r="A63" s="5" t="str">
        <x:v>COMP-CR3-8-04</x:v>
      </x:c>
      <x:c r="B63" s="5" t="str">
        <x:v>CR3.8</x:v>
      </x:c>
      <x:c r="C63" s="5" t="str">
        <x:v>Session integrity</x:v>
      </x:c>
      <x:c r="D63" s="5" t="str">
        <x:v>Generate a unique session identifier per session using recognized sources of randomness</x:v>
      </x:c>
      <x:c r="E63" s="5" t="str">
        <x:v>Mandatory</x:v>
      </x:c>
      <x:c r="F63" s="5" t="str">
        <x:v>All scoped component types; claimed SL-C for this FR &gt;= 2; feature conditions apply</x:v>
      </x:c>
      <x:c r="G63" s="5" t="n">
        <x:v>2</x:v>
      </x:c>
      <x:c r="H63" s="5" t="str">
        <x:v>7.10.1</x:v>
      </x:c>
      <x:c r="I63" s="5" t="str">
        <x:v>52-53</x:v>
      </x:c>
      <x:c r="J63" s="5" t="str">
        <x:v>50,51</x:v>
      </x:c>
      <x:c r="K63" s="5" t="str">
        <x:v>apps/ccli/third_party/libiec61850/hal/tls/mbedtls3; adapters/iec61850_mms/mms_adapter.cpp; adapters/iec60870_104/iec104_tls.cpp; cmake/tls_allowlist_validation.cmake</x:v>
      </x:c>
      <x:c r="L63" s="5" t="str">
        <x:v>HiTEKS security + Tespro platform</x:v>
      </x:c>
      <x:c r="M63" s="5" t="str">
        <x:v>Existing implementation area; requirement acceptance open</x:v>
      </x:c>
      <x:c r="N63" s="5" t="str">
        <x:v>Not demonstrated</x:v>
      </x:c>
      <x:c r="O63" s="5" t="str">
        <x:v>Frozen-build algorithm/policy tests, key handling review and negative negotiation evidence. Verify: Generate a unique session identifier per session using recognized sources of randomness.</x:v>
      </x:c>
      <x:c r="P63" s="10" t="str"/>
      <x:c r="Q63" s="10" t="str">
        <x:v>Open</x:v>
      </x:c>
      <x:c r="R63" s="10" t="str"/>
      <x:c r="S63" s="10" t="str"/>
      <x:c r="T63" s="10" t="str"/>
      <x:c r="U63" s="5" t="str">
        <x:f>IF(Q63="Closed",IF(AND(R63&lt;&gt;"",S63&lt;&gt;""),"Closed recorded","Missing evidence/reviewer"),IF(Q63="N/A approved",IF(AND(T63&lt;&gt;"",S63&lt;&gt;""),"N/A recorded","Missing applicability approval"),"Open"))</x:f>
        <x:v>Open</x:v>
      </x:c>
      <x:c r="V63" s="5" t="str">
        <x:v>Normativa/IEC 62443-4-2-2019.pdf</x:v>
      </x:c>
      <x:c r="W63" s="5" t="str"/>
    </x:row>
    <x:row r="64" ht="36" customHeight="1">
      <x:c r="A64" s="5" t="str">
        <x:v>COMP-CR3-9-01</x:v>
      </x:c>
      <x:c r="B64" s="5" t="str">
        <x:v>CR3.9</x:v>
      </x:c>
      <x:c r="C64" s="5" t="str">
        <x:v>Audit protection</x:v>
      </x:c>
      <x:c r="D64" s="5" t="str">
        <x:v>Protect audit information, logs and tools from unauthorized access, modification and deletion</x:v>
      </x:c>
      <x:c r="E64" s="5" t="str">
        <x:v>Mandatory</x:v>
      </x:c>
      <x:c r="F64" s="5" t="str">
        <x:v>All scoped component types; claimed SL-C for this FR &gt;= 2; feature conditions apply</x:v>
      </x:c>
      <x:c r="G64" s="5" t="n">
        <x:v>2</x:v>
      </x:c>
      <x:c r="H64" s="5" t="str">
        <x:v>7.11.1</x:v>
      </x:c>
      <x:c r="I64" s="5" t="str">
        <x:v>53</x:v>
      </x:c>
      <x:c r="J64" s="5" t="str">
        <x:v>51</x:v>
      </x:c>
      <x:c r="K64" s="5" t="str">
        <x:v>apps/ccli/core/event/event_store.cpp; adapters/iec61850_mms/mms_adapter.cpp; OpenWrt logging/collector configuration</x:v>
      </x:c>
      <x:c r="L64" s="5" t="str">
        <x:v>HiTEKS firmware/platform leads</x:v>
      </x:c>
      <x:c r="M64" s="5" t="str">
        <x:v>Existing implementation area; requirement acceptance open</x:v>
      </x:c>
      <x:c r="N64" s="5" t="str">
        <x:v>Not demonstrated</x:v>
      </x:c>
      <x:c r="O64" s="5" t="str">
        <x:v>Generate required events; verify fields, permissions, retention, failure response and receiver records. Verify: Protect audit information, logs and tools from unauthorized access, modification and deletion.</x:v>
      </x:c>
      <x:c r="P64" s="10" t="str"/>
      <x:c r="Q64" s="10" t="str">
        <x:v>Open</x:v>
      </x:c>
      <x:c r="R64" s="10" t="str"/>
      <x:c r="S64" s="10" t="str"/>
      <x:c r="T64" s="10" t="str"/>
      <x:c r="U64" s="5" t="str">
        <x:f>IF(Q64="Closed",IF(AND(R64&lt;&gt;"",S64&lt;&gt;""),"Closed recorded","Missing evidence/reviewer"),IF(Q64="N/A approved",IF(AND(T64&lt;&gt;"",S64&lt;&gt;""),"N/A recorded","Missing applicability approval"),"Open"))</x:f>
        <x:v>Open</x:v>
      </x:c>
      <x:c r="V64" s="5" t="str">
        <x:v>Normativa/IEC 62443-4-2-2019.pdf</x:v>
      </x:c>
      <x:c r="W64" s="5" t="str"/>
    </x:row>
    <x:row r="65" ht="36" customHeight="1">
      <x:c r="A65" s="5" t="str">
        <x:v>COMP-CR4-1-01</x:v>
      </x:c>
      <x:c r="B65" s="5" t="str">
        <x:v>CR4.1</x:v>
      </x:c>
      <x:c r="C65" s="5" t="str">
        <x:v>Information confidentiality</x:v>
      </x:c>
      <x:c r="D65" s="5" t="str">
        <x:v>Protect confidentiality of stored information for which read authorization is supported</x:v>
      </x:c>
      <x:c r="E65" s="5" t="str">
        <x:v>Mandatory</x:v>
      </x:c>
      <x:c r="F65" s="5" t="str">
        <x:v>All scoped component types; claimed SL-C for this FR &gt;= 1; feature conditions apply</x:v>
      </x:c>
      <x:c r="G65" s="5" t="n">
        <x:v>1</x:v>
      </x:c>
      <x:c r="H65" s="5" t="str">
        <x:v>8.3.1</x:v>
      </x:c>
      <x:c r="I65" s="5" t="str">
        <x:v>54-55</x:v>
      </x:c>
      <x:c r="J65" s="5" t="str">
        <x:v>52,53</x:v>
      </x:c>
      <x:c r="K65" s="5" t="str">
        <x:v>apps/ccli/third_party/libiec61850/hal/tls/mbedtls3; adapters/iec61850_mms/mms_adapter.cpp; adapters/iec60870_104/iec104_tls.cpp; cmake/tls_allowlist_validation.cmake</x:v>
      </x:c>
      <x:c r="L65" s="5" t="str">
        <x:v>HiTEKS security + Tespro platform</x:v>
      </x:c>
      <x:c r="M65" s="5" t="str">
        <x:v>Existing implementation area; requirement acceptance open</x:v>
      </x:c>
      <x:c r="N65" s="5" t="str">
        <x:v>Confirmed gap: tracked unencrypted TLS/CA keys and package copy of config/tls/*</x:v>
      </x:c>
      <x:c r="O65" s="5" t="str">
        <x:v>Frozen-build algorithm/policy tests, key handling review and negative negotiation evidence. Verify: Protect confidentiality of stored information for which read authorization is supported.</x:v>
      </x:c>
      <x:c r="P65" s="10" t="str"/>
      <x:c r="Q65" s="10" t="str">
        <x:v>Open</x:v>
      </x:c>
      <x:c r="R65" s="10" t="str"/>
      <x:c r="S65" s="10" t="str"/>
      <x:c r="T65" s="10" t="str"/>
      <x:c r="U65" s="5" t="str">
        <x:f>IF(Q65="Closed",IF(AND(R65&lt;&gt;"",S65&lt;&gt;""),"Closed recorded","Missing evidence/reviewer"),IF(Q65="N/A approved",IF(AND(T65&lt;&gt;"",S65&lt;&gt;""),"N/A recorded","Missing applicability approval"),"Open"))</x:f>
        <x:v>Open</x:v>
      </x:c>
      <x:c r="V65" s="5" t="str">
        <x:v>Normativa/IEC 62443-4-2-2019.pdf</x:v>
      </x:c>
      <x:c r="W65" s="5" t="str"/>
    </x:row>
    <x:row r="66" ht="36" customHeight="1">
      <x:c r="A66" s="5" t="str">
        <x:v>COMP-CR4-1-02</x:v>
      </x:c>
      <x:c r="B66" s="5" t="str">
        <x:v>CR4.1</x:v>
      </x:c>
      <x:c r="C66" s="5" t="str">
        <x:v>Information confidentiality</x:v>
      </x:c>
      <x:c r="D66" s="5" t="str">
        <x:v>Support confidentiality of information in transit according to SR4.1</x:v>
      </x:c>
      <x:c r="E66" s="5" t="str">
        <x:v>Mandatory</x:v>
      </x:c>
      <x:c r="F66" s="5" t="str">
        <x:v>All scoped component types; claimed SL-C for this FR &gt;= 1; feature conditions apply</x:v>
      </x:c>
      <x:c r="G66" s="5" t="n">
        <x:v>1</x:v>
      </x:c>
      <x:c r="H66" s="5" t="str">
        <x:v>8.3.1</x:v>
      </x:c>
      <x:c r="I66" s="5" t="str">
        <x:v>54-55</x:v>
      </x:c>
      <x:c r="J66" s="5" t="str">
        <x:v>52,53</x:v>
      </x:c>
      <x:c r="K66" s="5" t="str">
        <x:v>apps/ccli/third_party/libiec61850/hal/tls/mbedtls3; adapters/iec61850_mms/mms_adapter.cpp; adapters/iec60870_104/iec104_tls.cpp; cmake/tls_allowlist_validation.cmake</x:v>
      </x:c>
      <x:c r="L66" s="5" t="str">
        <x:v>HiTEKS security + Tespro platform</x:v>
      </x:c>
      <x:c r="M66" s="5" t="str">
        <x:v>Existing implementation area; requirement acceptance open</x:v>
      </x:c>
      <x:c r="N66" s="5" t="str">
        <x:v>Confirmed gap: tracked unencrypted TLS/CA keys and package copy of config/tls/*</x:v>
      </x:c>
      <x:c r="O66" s="5" t="str">
        <x:v>Frozen-build algorithm/policy tests, key handling review and negative negotiation evidence. Verify: Support confidentiality of information in transit according to SR4.1.</x:v>
      </x:c>
      <x:c r="P66" s="10" t="str"/>
      <x:c r="Q66" s="10" t="str">
        <x:v>Open</x:v>
      </x:c>
      <x:c r="R66" s="10" t="str"/>
      <x:c r="S66" s="10" t="str"/>
      <x:c r="T66" s="10" t="str"/>
      <x:c r="U66" s="5" t="str">
        <x:f>IF(Q66="Closed",IF(AND(R66&lt;&gt;"",S66&lt;&gt;""),"Closed recorded","Missing evidence/reviewer"),IF(Q66="N/A approved",IF(AND(T66&lt;&gt;"",S66&lt;&gt;""),"N/A recorded","Missing applicability approval"),"Open"))</x:f>
        <x:v>Open</x:v>
      </x:c>
      <x:c r="V66" s="5" t="str">
        <x:v>Normativa/IEC 62443-4-2-2019.pdf</x:v>
      </x:c>
      <x:c r="W66" s="5" t="str"/>
    </x:row>
    <x:row r="67" ht="36" customHeight="1">
      <x:c r="A67" s="5" t="str">
        <x:v>COMP-CR4-2-01</x:v>
      </x:c>
      <x:c r="B67" s="5" t="str">
        <x:v>CR4.2</x:v>
      </x:c>
      <x:c r="C67" s="5" t="str">
        <x:v>Information persistence</x:v>
      </x:c>
      <x:c r="D67" s="5" t="str">
        <x:v>Erase protected information before release from service or decommissioning</x:v>
      </x:c>
      <x:c r="E67" s="5" t="str">
        <x:v>Mandatory</x:v>
      </x:c>
      <x:c r="F67" s="5" t="str">
        <x:v>All scoped component types; claimed SL-C for this FR &gt;= 2; feature conditions apply</x:v>
      </x:c>
      <x:c r="G67" s="5" t="n">
        <x:v>2</x:v>
      </x:c>
      <x:c r="H67" s="5" t="str">
        <x:v>8.4.1</x:v>
      </x:c>
      <x:c r="I67" s="5" t="str">
        <x:v>55-56</x:v>
      </x:c>
      <x:c r="J67" s="5" t="str">
        <x:v>53,54</x:v>
      </x:c>
      <x:c r="K67" s="5" t="str">
        <x:v>apps/ccli/adapters/iec61850_mms/mms_adapter.cpp; mms_rbac_security.cpp; adapters/iec60870_104/iec104_tls.cpp; core/config/ccli_config.hpp</x:v>
      </x:c>
      <x:c r="L67" s="5" t="str">
        <x:v>HiTEKS security/PKI lead</x:v>
      </x:c>
      <x:c r="M67" s="5" t="str">
        <x:v>Existing implementation area; requirement acceptance open</x:v>
      </x:c>
      <x:c r="N67" s="5" t="str">
        <x:v>Not demonstrated</x:v>
      </x:c>
      <x:c r="O67" s="5" t="str">
        <x:v>Positive and negative identity/trust/revocation tests on both claimed protocol endpoints. Verify: Erase protected information before release from service or decommissioning.</x:v>
      </x:c>
      <x:c r="P67" s="10" t="str"/>
      <x:c r="Q67" s="10" t="str">
        <x:v>Open</x:v>
      </x:c>
      <x:c r="R67" s="10" t="str"/>
      <x:c r="S67" s="10" t="str"/>
      <x:c r="T67" s="10" t="str"/>
      <x:c r="U67" s="5" t="str">
        <x:f>IF(Q67="Closed",IF(AND(R67&lt;&gt;"",S67&lt;&gt;""),"Closed recorded","Missing evidence/reviewer"),IF(Q67="N/A approved",IF(AND(T67&lt;&gt;"",S67&lt;&gt;""),"N/A recorded","Missing applicability approval"),"Open"))</x:f>
        <x:v>Open</x:v>
      </x:c>
      <x:c r="V67" s="5" t="str">
        <x:v>Normativa/IEC 62443-4-2-2019.pdf</x:v>
      </x:c>
      <x:c r="W67" s="5" t="str"/>
    </x:row>
    <x:row r="68" ht="47" customHeight="1">
      <x:c r="A68" s="5" t="str">
        <x:v>COMP-CR4-3-01</x:v>
      </x:c>
      <x:c r="B68" s="5" t="str">
        <x:v>CR4.3</x:v>
      </x:c>
      <x:c r="C68" s="5" t="str">
        <x:v>Cryptographic practice</x:v>
      </x:c>
      <x:c r="D68" s="5" t="str">
        <x:v>Use internationally recognized and proven cryptographic mechanisms/practices when cryptography is required</x:v>
      </x:c>
      <x:c r="E68" s="5" t="str">
        <x:v>Mandatory</x:v>
      </x:c>
      <x:c r="F68" s="5" t="str">
        <x:v>All scoped component types; claimed SL-C for this FR &gt;= 1; feature conditions apply</x:v>
      </x:c>
      <x:c r="G68" s="5" t="n">
        <x:v>1</x:v>
      </x:c>
      <x:c r="H68" s="5" t="str">
        <x:v>8.5.1</x:v>
      </x:c>
      <x:c r="I68" s="5" t="str">
        <x:v>56-57</x:v>
      </x:c>
      <x:c r="J68" s="5" t="str">
        <x:v>54,55</x:v>
      </x:c>
      <x:c r="K68" s="5" t="str">
        <x:v>apps/ccli/third_party/libiec61850/hal/tls/mbedtls3; adapters/iec61850_mms/mms_adapter.cpp; adapters/iec60870_104/iec104_tls.cpp; cmake/tls_allowlist_validation.cmake</x:v>
      </x:c>
      <x:c r="L68" s="5" t="str">
        <x:v>HiTEKS security + Tespro platform</x:v>
      </x:c>
      <x:c r="M68" s="5" t="str">
        <x:v>Existing implementation area; requirement acceptance open</x:v>
      </x:c>
      <x:c r="N68" s="5" t="str">
        <x:v>Not demonstrated</x:v>
      </x:c>
      <x:c r="O68" s="5" t="str">
        <x:v>Frozen-build algorithm/policy tests, key handling review and negative negotiation evidence. Verify: Use internationally recognized and proven cryptographic mechanisms/practices when cryptography is required.</x:v>
      </x:c>
      <x:c r="P68" s="10" t="str"/>
      <x:c r="Q68" s="10" t="str">
        <x:v>Open</x:v>
      </x:c>
      <x:c r="R68" s="10" t="str"/>
      <x:c r="S68" s="10" t="str"/>
      <x:c r="T68" s="10" t="str"/>
      <x:c r="U68" s="5" t="str">
        <x:f>IF(Q68="Closed",IF(AND(R68&lt;&gt;"",S68&lt;&gt;""),"Closed recorded","Missing evidence/reviewer"),IF(Q68="N/A approved",IF(AND(T68&lt;&gt;"",S68&lt;&gt;""),"N/A recorded","Missing applicability approval"),"Open"))</x:f>
        <x:v>Open</x:v>
      </x:c>
      <x:c r="V68" s="5" t="str">
        <x:v>Normativa/IEC 62443-4-2-2019.pdf</x:v>
      </x:c>
      <x:c r="W68" s="5" t="str"/>
    </x:row>
    <x:row r="69" ht="47" customHeight="1">
      <x:c r="A69" s="5" t="str">
        <x:v>COMP-CR5-1-01</x:v>
      </x:c>
      <x:c r="B69" s="5" t="str">
        <x:v>CR5.1</x:v>
      </x:c>
      <x:c r="C69" s="5" t="str">
        <x:v>Segmentation</x:v>
      </x:c>
      <x:c r="D69" s="5" t="str">
        <x:v>Support logically segmented networks and, where appropriate, physical segmentation supporting criticality and security function</x:v>
      </x:c>
      <x:c r="E69" s="5" t="str">
        <x:v>Mandatory</x:v>
      </x:c>
      <x:c r="F69" s="5" t="str">
        <x:v>All scoped component types; claimed SL-C for this FR &gt;= 1; feature conditions apply</x:v>
      </x:c>
      <x:c r="G69" s="5" t="n">
        <x:v>1</x:v>
      </x:c>
      <x:c r="H69" s="5" t="str">
        <x:v>9.3.1</x:v>
      </x:c>
      <x:c r="I69" s="5" t="str">
        <x:v>57-58</x:v>
      </x:c>
      <x:c r="J69" s="5" t="str">
        <x:v>55,56</x:v>
      </x:c>
      <x:c r="K69" s="5" t="str">
        <x:v>OpenWrt UCI/nftables and management listeners; core/policy/net_policy.cpp is a placeholder; effective OS policy is the enforcement point</x:v>
      </x:c>
      <x:c r="L69" s="5" t="str">
        <x:v>Tespro platform + HiTEKS integration</x:v>
      </x:c>
      <x:c r="M69" s="5" t="str">
        <x:v>Not demonstrated</x:v>
      </x:c>
      <x:c r="N69" s="5" t="str">
        <x:v>Not demonstrated</x:v>
      </x:c>
      <x:c r="O69" s="5" t="str">
        <x:v>Inspect effective firewall and test allowed/denied traffic, boot/reload persistence and failure paths. Verify: Support logically segmented networks and, where appropriate, physical segmentation supporting criticality and security function.</x:v>
      </x:c>
      <x:c r="P69" s="10" t="str"/>
      <x:c r="Q69" s="10" t="str">
        <x:v>Open</x:v>
      </x:c>
      <x:c r="R69" s="10" t="str"/>
      <x:c r="S69" s="10" t="str"/>
      <x:c r="T69" s="10" t="str"/>
      <x:c r="U69" s="5" t="str">
        <x:f>IF(Q69="Closed",IF(AND(R69&lt;&gt;"",S69&lt;&gt;""),"Closed recorded","Missing evidence/reviewer"),IF(Q69="N/A approved",IF(AND(T69&lt;&gt;"",S69&lt;&gt;""),"N/A recorded","Missing applicability approval"),"Open"))</x:f>
        <x:v>Open</x:v>
      </x:c>
      <x:c r="V69" s="5" t="str">
        <x:v>Normativa/IEC 62443-4-2-2019.pdf</x:v>
      </x:c>
      <x:c r="W69" s="5" t="str"/>
    </x:row>
    <x:row r="70" ht="36" customHeight="1">
      <x:c r="A70" s="5" t="str">
        <x:v>COMP-CR6-1-01</x:v>
      </x:c>
      <x:c r="B70" s="5" t="str">
        <x:v>CR6.1</x:v>
      </x:c>
      <x:c r="C70" s="5" t="str">
        <x:v>Audit read access</x:v>
      </x:c>
      <x:c r="D70" s="5" t="str">
        <x:v>Give authorized people/tools read-only access to audit records</x:v>
      </x:c>
      <x:c r="E70" s="5" t="str">
        <x:v>Mandatory</x:v>
      </x:c>
      <x:c r="F70" s="5" t="str">
        <x:v>All scoped component types; claimed SL-C for this FR &gt;= 1; feature conditions apply</x:v>
      </x:c>
      <x:c r="G70" s="5" t="n">
        <x:v>1</x:v>
      </x:c>
      <x:c r="H70" s="5" t="str">
        <x:v>10.3.1</x:v>
      </x:c>
      <x:c r="I70" s="5" t="str">
        <x:v>59</x:v>
      </x:c>
      <x:c r="J70" s="5" t="str">
        <x:v>57</x:v>
      </x:c>
      <x:c r="K70" s="5" t="str">
        <x:v>apps/ccli/core/event/event_store.cpp; adapters/iec61850_mms/mms_adapter.cpp; OpenWrt logging/collector configuration</x:v>
      </x:c>
      <x:c r="L70" s="5" t="str">
        <x:v>HiTEKS firmware/platform leads</x:v>
      </x:c>
      <x:c r="M70" s="5" t="str">
        <x:v>Existing implementation area; requirement acceptance open</x:v>
      </x:c>
      <x:c r="N70" s="5" t="str">
        <x:v>Not demonstrated</x:v>
      </x:c>
      <x:c r="O70" s="5" t="str">
        <x:v>Generate required events; verify fields, permissions, retention, failure response and receiver records. Verify: Give authorized people/tools read-only access to audit records.</x:v>
      </x:c>
      <x:c r="P70" s="10" t="str"/>
      <x:c r="Q70" s="10" t="str">
        <x:v>Open</x:v>
      </x:c>
      <x:c r="R70" s="10" t="str"/>
      <x:c r="S70" s="10" t="str"/>
      <x:c r="T70" s="10" t="str"/>
      <x:c r="U70" s="5" t="str">
        <x:f>IF(Q70="Closed",IF(AND(R70&lt;&gt;"",S70&lt;&gt;""),"Closed recorded","Missing evidence/reviewer"),IF(Q70="N/A approved",IF(AND(T70&lt;&gt;"",S70&lt;&gt;""),"N/A recorded","Missing applicability approval"),"Open"))</x:f>
        <x:v>Open</x:v>
      </x:c>
      <x:c r="V70" s="5" t="str">
        <x:v>Normativa/IEC 62443-4-2-2019.pdf</x:v>
      </x:c>
      <x:c r="W70" s="5" t="str"/>
    </x:row>
    <x:row r="71" ht="36" customHeight="1">
      <x:c r="A71" s="5" t="str">
        <x:v>COMP-CR6-2-01</x:v>
      </x:c>
      <x:c r="B71" s="5" t="str">
        <x:v>CR6.2</x:v>
      </x:c>
      <x:c r="C71" s="5" t="str">
        <x:v>Continuous monitoring</x:v>
      </x:c>
      <x:c r="D71" s="5" t="str">
        <x:v>Support continuous monitoring to detect, characterize and report security breaches promptly</x:v>
      </x:c>
      <x:c r="E71" s="5" t="str">
        <x:v>Mandatory</x:v>
      </x:c>
      <x:c r="F71" s="5" t="str">
        <x:v>All scoped component types; claimed SL-C for this FR &gt;= 2; feature conditions apply</x:v>
      </x:c>
      <x:c r="G71" s="5" t="n">
        <x:v>2</x:v>
      </x:c>
      <x:c r="H71" s="5" t="str">
        <x:v>10.4.1</x:v>
      </x:c>
      <x:c r="I71" s="5" t="str">
        <x:v>59-60</x:v>
      </x:c>
      <x:c r="J71" s="5" t="str">
        <x:v>57,58</x:v>
      </x:c>
      <x:c r="K71" s="5" t="str">
        <x:v>apps/ccli/core/event/event_store.cpp; adapters/iec61850_mms/mms_adapter.cpp; OpenWrt logging/collector configuration</x:v>
      </x:c>
      <x:c r="L71" s="5" t="str">
        <x:v>HiTEKS firmware/platform leads</x:v>
      </x:c>
      <x:c r="M71" s="5" t="str">
        <x:v>Existing implementation area; requirement acceptance open</x:v>
      </x:c>
      <x:c r="N71" s="5" t="str">
        <x:v>Not demonstrated</x:v>
      </x:c>
      <x:c r="O71" s="5" t="str">
        <x:v>Generate required events; verify fields, permissions, retention, failure response and receiver records. Verify: Support continuous monitoring to detect, characterize and report security breaches promptly.</x:v>
      </x:c>
      <x:c r="P71" s="10" t="str"/>
      <x:c r="Q71" s="10" t="str">
        <x:v>Open</x:v>
      </x:c>
      <x:c r="R71" s="10" t="str"/>
      <x:c r="S71" s="10" t="str"/>
      <x:c r="T71" s="10" t="str"/>
      <x:c r="U71" s="5" t="str">
        <x:f>IF(Q71="Closed",IF(AND(R71&lt;&gt;"",S71&lt;&gt;""),"Closed recorded","Missing evidence/reviewer"),IF(Q71="N/A approved",IF(AND(T71&lt;&gt;"",S71&lt;&gt;""),"N/A recorded","Missing applicability approval"),"Open"))</x:f>
        <x:v>Open</x:v>
      </x:c>
      <x:c r="V71" s="5" t="str">
        <x:v>Normativa/IEC 62443-4-2-2019.pdf</x:v>
      </x:c>
      <x:c r="W71" s="5" t="str"/>
    </x:row>
    <x:row r="72" ht="36" customHeight="1">
      <x:c r="A72" s="5" t="str">
        <x:v>COMP-CR7-1-01</x:v>
      </x:c>
      <x:c r="B72" s="5" t="str">
        <x:v>CR7.1</x:v>
      </x:c>
      <x:c r="C72" s="5" t="str">
        <x:v>DoS protection</x:v>
      </x:c>
      <x:c r="D72" s="5" t="str">
        <x:v>Maintain essential functions during degraded operation caused by DoS</x:v>
      </x:c>
      <x:c r="E72" s="5" t="str">
        <x:v>Mandatory</x:v>
      </x:c>
      <x:c r="F72" s="5" t="str">
        <x:v>All scoped component types; claimed SL-C for this FR &gt;= 1; feature conditions apply</x:v>
      </x:c>
      <x:c r="G72" s="5" t="n">
        <x:v>1</x:v>
      </x:c>
      <x:c r="H72" s="5" t="str">
        <x:v>11.3.1</x:v>
      </x:c>
      <x:c r="I72" s="5" t="str">
        <x:v>61</x:v>
      </x:c>
      <x:c r="J72" s="5" t="str">
        <x:v>59</x:v>
      </x:c>
      <x:c r="K72" s="5" t="str">
        <x:v>apps/ccli/core/pf2; core/service/service_supervision.cpp; services/svc_io.c; package/ccli/files/ccli.init; OS resource/backup policy</x:v>
      </x:c>
      <x:c r="L72" s="5" t="str">
        <x:v>HiTEKS firmware + Tespro platform</x:v>
      </x:c>
      <x:c r="M72" s="5" t="str">
        <x:v>Existing implementation area; requirement acceptance open</x:v>
      </x:c>
      <x:c r="N72" s="5" t="str">
        <x:v>Not demonstrated</x:v>
      </x:c>
      <x:c r="O72" s="5" t="str">
        <x:v>Fault/flood/power-loss tests preserve defined essential functions and demonstrate secure recovery. Verify: Maintain essential functions during degraded operation caused by DoS.</x:v>
      </x:c>
      <x:c r="P72" s="10" t="str"/>
      <x:c r="Q72" s="10" t="str">
        <x:v>Open</x:v>
      </x:c>
      <x:c r="R72" s="10" t="str"/>
      <x:c r="S72" s="10" t="str"/>
      <x:c r="T72" s="10" t="str"/>
      <x:c r="U72" s="5" t="str">
        <x:f>IF(Q72="Closed",IF(AND(R72&lt;&gt;"",S72&lt;&gt;""),"Closed recorded","Missing evidence/reviewer"),IF(Q72="N/A approved",IF(AND(T72&lt;&gt;"",S72&lt;&gt;""),"N/A recorded","Missing applicability approval"),"Open"))</x:f>
        <x:v>Open</x:v>
      </x:c>
      <x:c r="V72" s="5" t="str">
        <x:v>Normativa/IEC 62443-4-2-2019.pdf</x:v>
      </x:c>
      <x:c r="W72" s="5" t="str"/>
    </x:row>
    <x:row r="73" ht="36" customHeight="1">
      <x:c r="A73" s="5" t="str">
        <x:v>COMP-CR7-2-01</x:v>
      </x:c>
      <x:c r="B73" s="5" t="str">
        <x:v>CR7.2</x:v>
      </x:c>
      <x:c r="C73" s="5" t="str">
        <x:v>Resource management</x:v>
      </x:c>
      <x:c r="D73" s="5" t="str">
        <x:v>Limit resources consumed by security functions to prevent resource exhaustion</x:v>
      </x:c>
      <x:c r="E73" s="5" t="str">
        <x:v>Mandatory</x:v>
      </x:c>
      <x:c r="F73" s="5" t="str">
        <x:v>All scoped component types; claimed SL-C for this FR &gt;= 1; feature conditions apply</x:v>
      </x:c>
      <x:c r="G73" s="5" t="n">
        <x:v>1</x:v>
      </x:c>
      <x:c r="H73" s="5" t="str">
        <x:v>11.4.1</x:v>
      </x:c>
      <x:c r="I73" s="5" t="str">
        <x:v>61</x:v>
      </x:c>
      <x:c r="J73" s="5" t="str">
        <x:v>59</x:v>
      </x:c>
      <x:c r="K73" s="5" t="str">
        <x:v>apps/ccli/core/pf2; core/service/service_supervision.cpp; services/svc_io.c; package/ccli/files/ccli.init; OS resource/backup policy</x:v>
      </x:c>
      <x:c r="L73" s="5" t="str">
        <x:v>HiTEKS firmware + Tespro platform</x:v>
      </x:c>
      <x:c r="M73" s="5" t="str">
        <x:v>Existing implementation area; requirement acceptance open</x:v>
      </x:c>
      <x:c r="N73" s="5" t="str">
        <x:v>Not demonstrated</x:v>
      </x:c>
      <x:c r="O73" s="5" t="str">
        <x:v>Fault/flood/power-loss tests preserve defined essential functions and demonstrate secure recovery. Verify: Limit resources consumed by security functions to prevent resource exhaustion.</x:v>
      </x:c>
      <x:c r="P73" s="10" t="str"/>
      <x:c r="Q73" s="10" t="str">
        <x:v>Open</x:v>
      </x:c>
      <x:c r="R73" s="10" t="str"/>
      <x:c r="S73" s="10" t="str"/>
      <x:c r="T73" s="10" t="str"/>
      <x:c r="U73" s="5" t="str">
        <x:f>IF(Q73="Closed",IF(AND(R73&lt;&gt;"",S73&lt;&gt;""),"Closed recorded","Missing evidence/reviewer"),IF(Q73="N/A approved",IF(AND(T73&lt;&gt;"",S73&lt;&gt;""),"N/A recorded","Missing applicability approval"),"Open"))</x:f>
        <x:v>Open</x:v>
      </x:c>
      <x:c r="V73" s="5" t="str">
        <x:v>Normativa/IEC 62443-4-2-2019.pdf</x:v>
      </x:c>
      <x:c r="W73" s="5" t="str"/>
    </x:row>
    <x:row r="74" ht="36" customHeight="1">
      <x:c r="A74" s="5" t="str">
        <x:v>COMP-CR7-3-01</x:v>
      </x:c>
      <x:c r="B74" s="5" t="str">
        <x:v>CR7.3</x:v>
      </x:c>
      <x:c r="C74" s="5" t="str">
        <x:v>Backup</x:v>
      </x:c>
      <x:c r="D74" s="5" t="str">
        <x:v>Participate in system backup protecting user/system component state</x:v>
      </x:c>
      <x:c r="E74" s="5" t="str">
        <x:v>Mandatory</x:v>
      </x:c>
      <x:c r="F74" s="5" t="str">
        <x:v>All scoped component types; claimed SL-C for this FR &gt;= 1; feature conditions apply</x:v>
      </x:c>
      <x:c r="G74" s="5" t="n">
        <x:v>1</x:v>
      </x:c>
      <x:c r="H74" s="5" t="str">
        <x:v>11.5.1</x:v>
      </x:c>
      <x:c r="I74" s="5" t="str">
        <x:v>62</x:v>
      </x:c>
      <x:c r="J74" s="5" t="str">
        <x:v>60</x:v>
      </x:c>
      <x:c r="K74" s="5" t="str">
        <x:v>apps/ccli/core/pf2; core/service/service_supervision.cpp; services/svc_io.c; package/ccli/files/ccli.init; OS resource/backup policy</x:v>
      </x:c>
      <x:c r="L74" s="5" t="str">
        <x:v>HiTEKS firmware + Tespro platform</x:v>
      </x:c>
      <x:c r="M74" s="5" t="str">
        <x:v>Existing implementation area; requirement acceptance open</x:v>
      </x:c>
      <x:c r="N74" s="5" t="str">
        <x:v>Not demonstrated</x:v>
      </x:c>
      <x:c r="O74" s="5" t="str">
        <x:v>Fault/flood/power-loss tests preserve defined essential functions and demonstrate secure recovery. Verify: Participate in system backup protecting user/system component state.</x:v>
      </x:c>
      <x:c r="P74" s="10" t="str"/>
      <x:c r="Q74" s="10" t="str">
        <x:v>Open</x:v>
      </x:c>
      <x:c r="R74" s="10" t="str"/>
      <x:c r="S74" s="10" t="str"/>
      <x:c r="T74" s="10" t="str"/>
      <x:c r="U74" s="5" t="str">
        <x:f>IF(Q74="Closed",IF(AND(R74&lt;&gt;"",S74&lt;&gt;""),"Closed recorded","Missing evidence/reviewer"),IF(Q74="N/A approved",IF(AND(T74&lt;&gt;"",S74&lt;&gt;""),"N/A recorded","Missing applicability approval"),"Open"))</x:f>
        <x:v>Open</x:v>
      </x:c>
      <x:c r="V74" s="5" t="str">
        <x:v>Normativa/IEC 62443-4-2-2019.pdf</x:v>
      </x:c>
      <x:c r="W74" s="5" t="str"/>
    </x:row>
    <x:row r="75" ht="36" customHeight="1">
      <x:c r="A75" s="5" t="str">
        <x:v>COMP-CR7-3-02</x:v>
      </x:c>
      <x:c r="B75" s="5" t="str">
        <x:v>CR7.3</x:v>
      </x:c>
      <x:c r="C75" s="5" t="str">
        <x:v>Backup</x:v>
      </x:c>
      <x:c r="D75" s="5" t="str">
        <x:v>Avoid disturbing normal component operation during backup</x:v>
      </x:c>
      <x:c r="E75" s="5" t="str">
        <x:v>Mandatory</x:v>
      </x:c>
      <x:c r="F75" s="5" t="str">
        <x:v>All scoped component types; claimed SL-C for this FR &gt;= 1; feature conditions apply</x:v>
      </x:c>
      <x:c r="G75" s="5" t="n">
        <x:v>1</x:v>
      </x:c>
      <x:c r="H75" s="5" t="str">
        <x:v>11.5.1</x:v>
      </x:c>
      <x:c r="I75" s="5" t="str">
        <x:v>62</x:v>
      </x:c>
      <x:c r="J75" s="5" t="str">
        <x:v>60</x:v>
      </x:c>
      <x:c r="K75" s="5" t="str">
        <x:v>apps/ccli/core/pf2; core/service/service_supervision.cpp; services/svc_io.c; package/ccli/files/ccli.init; OS resource/backup policy</x:v>
      </x:c>
      <x:c r="L75" s="5" t="str">
        <x:v>HiTEKS firmware + Tespro platform</x:v>
      </x:c>
      <x:c r="M75" s="5" t="str">
        <x:v>Existing implementation area; requirement acceptance open</x:v>
      </x:c>
      <x:c r="N75" s="5" t="str">
        <x:v>Not demonstrated</x:v>
      </x:c>
      <x:c r="O75" s="5" t="str">
        <x:v>Fault/flood/power-loss tests preserve defined essential functions and demonstrate secure recovery. Verify: Avoid disturbing normal component operation during backup.</x:v>
      </x:c>
      <x:c r="P75" s="10" t="str"/>
      <x:c r="Q75" s="10" t="str">
        <x:v>Open</x:v>
      </x:c>
      <x:c r="R75" s="10" t="str"/>
      <x:c r="S75" s="10" t="str"/>
      <x:c r="T75" s="10" t="str"/>
      <x:c r="U75" s="5" t="str">
        <x:f>IF(Q75="Closed",IF(AND(R75&lt;&gt;"",S75&lt;&gt;""),"Closed recorded","Missing evidence/reviewer"),IF(Q75="N/A approved",IF(AND(T75&lt;&gt;"",S75&lt;&gt;""),"N/A recorded","Missing applicability approval"),"Open"))</x:f>
        <x:v>Open</x:v>
      </x:c>
      <x:c r="V75" s="5" t="str">
        <x:v>Normativa/IEC 62443-4-2-2019.pdf</x:v>
      </x:c>
      <x:c r="W75" s="5" t="str"/>
    </x:row>
    <x:row r="76" ht="36" customHeight="1">
      <x:c r="A76" s="5" t="str">
        <x:v>COMP-CR7-4-01</x:v>
      </x:c>
      <x:c r="B76" s="5" t="str">
        <x:v>CR7.4</x:v>
      </x:c>
      <x:c r="C76" s="5" t="str">
        <x:v>Recovery</x:v>
      </x:c>
      <x:c r="D76" s="5" t="str">
        <x:v>Recover and reconstitute the component to a known secure state after disruption/failure</x:v>
      </x:c>
      <x:c r="E76" s="5" t="str">
        <x:v>Mandatory</x:v>
      </x:c>
      <x:c r="F76" s="5" t="str">
        <x:v>All scoped component types; claimed SL-C for this FR &gt;= 1; feature conditions apply</x:v>
      </x:c>
      <x:c r="G76" s="5" t="n">
        <x:v>1</x:v>
      </x:c>
      <x:c r="H76" s="5" t="str">
        <x:v>11.6.1</x:v>
      </x:c>
      <x:c r="I76" s="5" t="str">
        <x:v>62-63</x:v>
      </x:c>
      <x:c r="J76" s="5" t="str">
        <x:v>60,61</x:v>
      </x:c>
      <x:c r="K76" s="5" t="str">
        <x:v>apps/ccli/core/pf2; core/service/service_supervision.cpp; services/svc_io.c; package/ccli/files/ccli.init; OS resource/backup policy</x:v>
      </x:c>
      <x:c r="L76" s="5" t="str">
        <x:v>HiTEKS firmware + Tespro platform</x:v>
      </x:c>
      <x:c r="M76" s="5" t="str">
        <x:v>Existing implementation area; requirement acceptance open</x:v>
      </x:c>
      <x:c r="N76" s="5" t="str">
        <x:v>Not demonstrated</x:v>
      </x:c>
      <x:c r="O76" s="5" t="str">
        <x:v>Fault/flood/power-loss tests preserve defined essential functions and demonstrate secure recovery. Verify: Recover and reconstitute the component to a known secure state after disruption/failure.</x:v>
      </x:c>
      <x:c r="P76" s="10" t="str"/>
      <x:c r="Q76" s="10" t="str">
        <x:v>Open</x:v>
      </x:c>
      <x:c r="R76" s="10" t="str"/>
      <x:c r="S76" s="10" t="str"/>
      <x:c r="T76" s="10" t="str"/>
      <x:c r="U76" s="5" t="str">
        <x:f>IF(Q76="Closed",IF(AND(R76&lt;&gt;"",S76&lt;&gt;""),"Closed recorded","Missing evidence/reviewer"),IF(Q76="N/A approved",IF(AND(T76&lt;&gt;"",S76&lt;&gt;""),"N/A recorded","Missing applicability approval"),"Open"))</x:f>
        <x:v>Open</x:v>
      </x:c>
      <x:c r="V76" s="5" t="str">
        <x:v>Normativa/IEC 62443-4-2-2019.pdf</x:v>
      </x:c>
      <x:c r="W76" s="5" t="str"/>
    </x:row>
    <x:row r="77" ht="36" customHeight="1">
      <x:c r="A77" s="5" t="str">
        <x:v>COMP-CR7-6-01</x:v>
      </x:c>
      <x:c r="B77" s="5" t="str">
        <x:v>CR7.6</x:v>
      </x:c>
      <x:c r="C77" s="5" t="str">
        <x:v>Security configuration</x:v>
      </x:c>
      <x:c r="D77" s="5" t="str">
        <x:v>Support security/network configuration according to deployment security policy</x:v>
      </x:c>
      <x:c r="E77" s="5" t="str">
        <x:v>Mandatory</x:v>
      </x:c>
      <x:c r="F77" s="5" t="str">
        <x:v>All scoped component types; claimed SL-C for this FR &gt;= 1; feature conditions apply</x:v>
      </x:c>
      <x:c r="G77" s="5" t="n">
        <x:v>1</x:v>
      </x:c>
      <x:c r="H77" s="5" t="str">
        <x:v>11.8.1</x:v>
      </x:c>
      <x:c r="I77" s="5" t="str">
        <x:v>63</x:v>
      </x:c>
      <x:c r="J77" s="5" t="str">
        <x:v>61</x:v>
      </x:c>
      <x:c r="K77" s="5" t="str">
        <x:v>Architecture/CCI_Runtime_Dataflow_Architecture.md; Architecture/Software_Architecture.md; knowledge-base/08-engineering/CCI_62443_Zones.md</x:v>
      </x:c>
      <x:c r="L77" s="5" t="str">
        <x:v>HiTEKS architect</x:v>
      </x:c>
      <x:c r="M77" s="5" t="str">
        <x:v>Not demonstrated</x:v>
      </x:c>
      <x:c r="N77" s="5" t="str">
        <x:v>Not demonstrated</x:v>
      </x:c>
      <x:c r="O77" s="5" t="str">
        <x:v>Approved design/traceability review; exercise the relevant trust boundary and record residual risks. Verify: Support security/network configuration according to deployment security policy.</x:v>
      </x:c>
      <x:c r="P77" s="10" t="str"/>
      <x:c r="Q77" s="10" t="str">
        <x:v>Open</x:v>
      </x:c>
      <x:c r="R77" s="10" t="str"/>
      <x:c r="S77" s="10" t="str"/>
      <x:c r="T77" s="10" t="str"/>
      <x:c r="U77" s="5" t="str">
        <x:f>IF(Q77="Closed",IF(AND(R77&lt;&gt;"",S77&lt;&gt;""),"Closed recorded","Missing evidence/reviewer"),IF(Q77="N/A approved",IF(AND(T77&lt;&gt;"",S77&lt;&gt;""),"N/A recorded","Missing applicability approval"),"Open"))</x:f>
        <x:v>Open</x:v>
      </x:c>
      <x:c r="V77" s="5" t="str">
        <x:v>Normativa/IEC 62443-4-2-2019.pdf</x:v>
      </x:c>
      <x:c r="W77" s="5" t="str"/>
    </x:row>
    <x:row r="78" ht="36" customHeight="1">
      <x:c r="A78" s="5" t="str">
        <x:v>COMP-CR7-6-02</x:v>
      </x:c>
      <x:c r="B78" s="5" t="str">
        <x:v>CR7.6</x:v>
      </x:c>
      <x:c r="C78" s="5" t="str">
        <x:v>Security configuration</x:v>
      </x:c>
      <x:c r="D78" s="5" t="str">
        <x:v>Provide an interface to the currently deployed security settings</x:v>
      </x:c>
      <x:c r="E78" s="5" t="str">
        <x:v>Mandatory</x:v>
      </x:c>
      <x:c r="F78" s="5" t="str">
        <x:v>All scoped component types; claimed SL-C for this FR &gt;= 1; feature conditions apply</x:v>
      </x:c>
      <x:c r="G78" s="5" t="n">
        <x:v>1</x:v>
      </x:c>
      <x:c r="H78" s="5" t="str">
        <x:v>11.8.1</x:v>
      </x:c>
      <x:c r="I78" s="5" t="str">
        <x:v>63</x:v>
      </x:c>
      <x:c r="J78" s="5" t="str">
        <x:v>61</x:v>
      </x:c>
      <x:c r="K78" s="5" t="str">
        <x:v>Architecture/CCI_Runtime_Dataflow_Architecture.md; Architecture/Software_Architecture.md; knowledge-base/08-engineering/CCI_62443_Zones.md</x:v>
      </x:c>
      <x:c r="L78" s="5" t="str">
        <x:v>HiTEKS architect</x:v>
      </x:c>
      <x:c r="M78" s="5" t="str">
        <x:v>Not demonstrated</x:v>
      </x:c>
      <x:c r="N78" s="5" t="str">
        <x:v>Not demonstrated</x:v>
      </x:c>
      <x:c r="O78" s="5" t="str">
        <x:v>Approved design/traceability review; exercise the relevant trust boundary and record residual risks. Verify: Provide an interface to the currently deployed security settings.</x:v>
      </x:c>
      <x:c r="P78" s="10" t="str"/>
      <x:c r="Q78" s="10" t="str">
        <x:v>Open</x:v>
      </x:c>
      <x:c r="R78" s="10" t="str"/>
      <x:c r="S78" s="10" t="str"/>
      <x:c r="T78" s="10" t="str"/>
      <x:c r="U78" s="5" t="str">
        <x:f>IF(Q78="Closed",IF(AND(R78&lt;&gt;"",S78&lt;&gt;""),"Closed recorded","Missing evidence/reviewer"),IF(Q78="N/A approved",IF(AND(T78&lt;&gt;"",S78&lt;&gt;""),"N/A recorded","Missing applicability approval"),"Open"))</x:f>
        <x:v>Open</x:v>
      </x:c>
      <x:c r="V78" s="5" t="str">
        <x:v>Normativa/IEC 62443-4-2-2019.pdf</x:v>
      </x:c>
      <x:c r="W78" s="5" t="str"/>
    </x:row>
    <x:row r="79" ht="36" customHeight="1">
      <x:c r="A79" s="5" t="str">
        <x:v>COMP-CR7-7-01</x:v>
      </x:c>
      <x:c r="B79" s="5" t="str">
        <x:v>CR7.7</x:v>
      </x:c>
      <x:c r="C79" s="5" t="str">
        <x:v>Least functionality</x:v>
      </x:c>
      <x:c r="D79" s="5" t="str">
        <x:v>Restrict unnecessary functions, ports, protocols and services</x:v>
      </x:c>
      <x:c r="E79" s="5" t="str">
        <x:v>Mandatory</x:v>
      </x:c>
      <x:c r="F79" s="5" t="str">
        <x:v>All scoped component types; claimed SL-C for this FR &gt;= 1; feature conditions apply</x:v>
      </x:c>
      <x:c r="G79" s="5" t="n">
        <x:v>1</x:v>
      </x:c>
      <x:c r="H79" s="5" t="str">
        <x:v>11.9.1</x:v>
      </x:c>
      <x:c r="I79" s="5" t="str">
        <x:v>63-64</x:v>
      </x:c>
      <x:c r="J79" s="5" t="str">
        <x:v>61,62</x:v>
      </x:c>
      <x:c r="K79" s="5" t="str">
        <x:v>OpenWrt UCI/nftables and management listeners; core/policy/net_policy.cpp is a placeholder; effective OS policy is the enforcement point</x:v>
      </x:c>
      <x:c r="L79" s="5" t="str">
        <x:v>Tespro platform + HiTEKS integration</x:v>
      </x:c>
      <x:c r="M79" s="5" t="str">
        <x:v>Not demonstrated</x:v>
      </x:c>
      <x:c r="N79" s="5" t="str">
        <x:v>Not demonstrated</x:v>
      </x:c>
      <x:c r="O79" s="5" t="str">
        <x:v>Inspect effective firewall and test allowed/denied traffic, boot/reload persistence and failure paths. Verify: Restrict unnecessary functions, ports, protocols and services.</x:v>
      </x:c>
      <x:c r="P79" s="10" t="str"/>
      <x:c r="Q79" s="10" t="str">
        <x:v>Open</x:v>
      </x:c>
      <x:c r="R79" s="10" t="str"/>
      <x:c r="S79" s="10" t="str"/>
      <x:c r="T79" s="10" t="str"/>
      <x:c r="U79" s="5" t="str">
        <x:f>IF(Q79="Closed",IF(AND(R79&lt;&gt;"",S79&lt;&gt;""),"Closed recorded","Missing evidence/reviewer"),IF(Q79="N/A approved",IF(AND(T79&lt;&gt;"",S79&lt;&gt;""),"N/A recorded","Missing applicability approval"),"Open"))</x:f>
        <x:v>Open</x:v>
      </x:c>
      <x:c r="V79" s="5" t="str">
        <x:v>Normativa/IEC 62443-4-2-2019.pdf</x:v>
      </x:c>
      <x:c r="W79" s="5" t="str"/>
    </x:row>
    <x:row r="80" ht="36" customHeight="1">
      <x:c r="A80" s="5" t="str">
        <x:v>COMP-CR7-8-01</x:v>
      </x:c>
      <x:c r="B80" s="5" t="str">
        <x:v>CR7.8</x:v>
      </x:c>
      <x:c r="C80" s="5" t="str">
        <x:v>Component inventory</x:v>
      </x:c>
      <x:c r="D80" s="5" t="str">
        <x:v>Support control-system component inventory per IEC 62443-3-3 SR7.8</x:v>
      </x:c>
      <x:c r="E80" s="5" t="str">
        <x:v>Mandatory</x:v>
      </x:c>
      <x:c r="F80" s="5" t="str">
        <x:v>All scoped component types; claimed SL-C for this FR &gt;= 2; feature conditions apply</x:v>
      </x:c>
      <x:c r="G80" s="5" t="n">
        <x:v>2</x:v>
      </x:c>
      <x:c r="H80" s="5" t="str">
        <x:v>11.10.1</x:v>
      </x:c>
      <x:c r="I80" s="5" t="str">
        <x:v>64</x:v>
      </x:c>
      <x:c r="J80" s="5" t="str">
        <x:v>62</x:v>
      </x:c>
      <x:c r="K80" s="5" t="str">
        <x:v>apps/ccli/core; apps/ccli/adapters; apps/ccli/CMakeLists.txt; apps/ccli/tests/unit; CI/code-review work required</x:v>
      </x:c>
      <x:c r="L80" s="5" t="str">
        <x:v>HiTEKS firmware lead</x:v>
      </x:c>
      <x:c r="M80" s="5" t="str">
        <x:v>Existing implementation area; requirement acceptance open</x:v>
      </x:c>
      <x:c r="N80" s="5" t="str">
        <x:v>Not demonstrated</x:v>
      </x:c>
      <x:c r="O80" s="5" t="str">
        <x:v>Review record plus reproducible automated analysis/regression results for the frozen source. Verify: Support control-system component inventory per IEC 62443-3-3 SR7.8.</x:v>
      </x:c>
      <x:c r="P80" s="10" t="str"/>
      <x:c r="Q80" s="10" t="str">
        <x:v>Open</x:v>
      </x:c>
      <x:c r="R80" s="10" t="str"/>
      <x:c r="S80" s="10" t="str"/>
      <x:c r="T80" s="10" t="str"/>
      <x:c r="U80" s="5" t="str">
        <x:f>IF(Q80="Closed",IF(AND(R80&lt;&gt;"",S80&lt;&gt;""),"Closed recorded","Missing evidence/reviewer"),IF(Q80="N/A approved",IF(AND(T80&lt;&gt;"",S80&lt;&gt;""),"N/A recorded","Missing applicability approval"),"Open"))</x:f>
        <x:v>Open</x:v>
      </x:c>
      <x:c r="V80" s="5" t="str">
        <x:v>Normativa/IEC 62443-4-2-2019.pdf</x:v>
      </x:c>
      <x:c r="W80" s="5" t="str"/>
    </x:row>
    <x:row r="81" ht="36" customHeight="1">
      <x:c r="A81" s="5" t="str">
        <x:v>COMP-CR1-1-RE1-01</x:v>
      </x:c>
      <x:c r="B81" s="5" t="str">
        <x:v>CR1.1-RE1</x:v>
      </x:c>
      <x:c r="C81" s="5" t="str">
        <x:v>Unique human identities</x:v>
      </x:c>
      <x:c r="D81" s="5" t="str">
        <x:v>Uniquely identify and authenticate every human user</x:v>
      </x:c>
      <x:c r="E81" s="5" t="str">
        <x:v>Conditional mandatory</x:v>
      </x:c>
      <x:c r="F81" s="5" t="str">
        <x:v>Claimed SL-C for relevant FR &gt;= 2; feature conditions apply</x:v>
      </x:c>
      <x:c r="G81" s="5" t="n">
        <x:v>2</x:v>
      </x:c>
      <x:c r="H81" s="5" t="str">
        <x:v>5.3.3</x:v>
      </x:c>
      <x:c r="I81" s="5" t="str">
        <x:v>30</x:v>
      </x:c>
      <x:c r="J81" s="5" t="str">
        <x:v>28</x:v>
      </x:c>
      <x:c r="K81" s="5" t="str">
        <x:v>apps/ccli/adapters/iec61850_mms/mms_rbac.cpp; mms_xacml.cpp; mms_rbac_security.cpp; OpenWrt SSH/LuCI account/session configuration</x:v>
      </x:c>
      <x:c r="L81" s="5" t="str">
        <x:v>HiTEKS firmware and platform leads</x:v>
      </x:c>
      <x:c r="M81" s="5" t="str">
        <x:v>Existing implementation area; requirement acceptance open</x:v>
      </x:c>
      <x:c r="N81" s="5" t="str">
        <x:v>Basic DSO/Viewer path; expanded merged RBAC absent; acceptance open</x:v>
      </x:c>
      <x:c r="O81" s="5" t="str">
        <x:v>Role/service/interface matrix with allowed and denied operations and correlated audit records. Verify: Uniquely identify and authenticate every human user.</x:v>
      </x:c>
      <x:c r="P81" s="10" t="str"/>
      <x:c r="Q81" s="10" t="str">
        <x:v>Open</x:v>
      </x:c>
      <x:c r="R81" s="10" t="str"/>
      <x:c r="S81" s="10" t="str"/>
      <x:c r="T81" s="10" t="str"/>
      <x:c r="U81" s="5" t="str">
        <x:f>IF(Q81="Closed",IF(AND(R81&lt;&gt;"",S81&lt;&gt;""),"Closed recorded","Missing evidence/reviewer"),IF(Q81="N/A approved",IF(AND(T81&lt;&gt;"",S81&lt;&gt;""),"N/A recorded","Missing applicability approval"),"Open"))</x:f>
        <x:v>Open</x:v>
      </x:c>
      <x:c r="V81" s="5" t="str">
        <x:v>Normativa/IEC 62443-4-2-2019.pdf</x:v>
      </x:c>
      <x:c r="W81" s="5" t="str"/>
    </x:row>
    <x:row r="82" ht="36" customHeight="1">
      <x:c r="A82" s="5" t="str">
        <x:v>COMP-CR1-1-RE2-01</x:v>
      </x:c>
      <x:c r="B82" s="5" t="str">
        <x:v>CR1.1-RE2</x:v>
      </x:c>
      <x:c r="C82" s="5" t="str">
        <x:v>Multifactor access</x:v>
      </x:c>
      <x:c r="D82" s="5" t="str">
        <x:v>Provide multifactor authentication for all human-access interfaces</x:v>
      </x:c>
      <x:c r="E82" s="5" t="str">
        <x:v>Conditional mandatory</x:v>
      </x:c>
      <x:c r="F82" s="5" t="str">
        <x:v>Claimed SL-C for relevant FR &gt;= 3; feature conditions apply</x:v>
      </x:c>
      <x:c r="G82" s="5" t="n">
        <x:v>3</x:v>
      </x:c>
      <x:c r="H82" s="5" t="str">
        <x:v>5.3.3</x:v>
      </x:c>
      <x:c r="I82" s="5" t="str">
        <x:v>30</x:v>
      </x:c>
      <x:c r="J82" s="5" t="str">
        <x:v>28</x:v>
      </x:c>
      <x:c r="K82" s="5" t="str">
        <x:v>apps/ccli/adapters/iec61850_mms/mms_rbac.cpp; mms_xacml.cpp; mms_rbac_security.cpp; OpenWrt SSH/LuCI account/session configuration</x:v>
      </x:c>
      <x:c r="L82" s="5" t="str">
        <x:v>HiTEKS firmware and platform leads</x:v>
      </x:c>
      <x:c r="M82" s="5" t="str">
        <x:v>Existing implementation area; requirement acceptance open</x:v>
      </x:c>
      <x:c r="N82" s="5" t="str">
        <x:v>Basic DSO/Viewer path; expanded merged RBAC absent; acceptance open</x:v>
      </x:c>
      <x:c r="O82" s="5" t="str">
        <x:v>Role/service/interface matrix with allowed and denied operations and correlated audit records. Verify: Provide multifactor authentication for all human-access interfaces.</x:v>
      </x:c>
      <x:c r="P82" s="10" t="str"/>
      <x:c r="Q82" s="10" t="str">
        <x:v>Open</x:v>
      </x:c>
      <x:c r="R82" s="10" t="str"/>
      <x:c r="S82" s="10" t="str"/>
      <x:c r="T82" s="10" t="str"/>
      <x:c r="U82" s="5" t="str">
        <x:f>IF(Q82="Closed",IF(AND(R82&lt;&gt;"",S82&lt;&gt;""),"Closed recorded","Missing evidence/reviewer"),IF(Q82="N/A approved",IF(AND(T82&lt;&gt;"",S82&lt;&gt;""),"N/A recorded","Missing applicability approval"),"Open"))</x:f>
        <x:v>Open</x:v>
      </x:c>
      <x:c r="V82" s="5" t="str">
        <x:v>Normativa/IEC 62443-4-2-2019.pdf</x:v>
      </x:c>
      <x:c r="W82" s="5" t="str"/>
    </x:row>
    <x:row r="83" ht="36" customHeight="1">
      <x:c r="A83" s="5" t="str">
        <x:v>COMP-CR1-2-RE1-01</x:v>
      </x:c>
      <x:c r="B83" s="5" t="str">
        <x:v>CR1.2-RE1</x:v>
      </x:c>
      <x:c r="C83" s="5" t="str">
        <x:v>Unique process/device identity</x:v>
      </x:c>
      <x:c r="D83" s="5" t="str">
        <x:v>Uniquely identify/authenticate the component to other components</x:v>
      </x:c>
      <x:c r="E83" s="5" t="str">
        <x:v>Conditional mandatory</x:v>
      </x:c>
      <x:c r="F83" s="5" t="str">
        <x:v>Claimed SL-C for relevant FR &gt;= 3; feature conditions apply</x:v>
      </x:c>
      <x:c r="G83" s="5" t="n">
        <x:v>3</x:v>
      </x:c>
      <x:c r="H83" s="5" t="str">
        <x:v>5.4.3</x:v>
      </x:c>
      <x:c r="I83" s="5" t="str">
        <x:v>31</x:v>
      </x:c>
      <x:c r="J83" s="5" t="str">
        <x:v>29</x:v>
      </x:c>
      <x:c r="K83" s="5" t="str">
        <x:v>apps/ccli/adapters/iec61850_mms/mms_adapter.cpp; mms_rbac_security.cpp; adapters/iec60870_104/iec104_tls.cpp; core/config/ccli_config.hpp</x:v>
      </x:c>
      <x:c r="L83" s="5" t="str">
        <x:v>HiTEKS security/PKI lead</x:v>
      </x:c>
      <x:c r="M83" s="5" t="str">
        <x:v>Existing implementation area; requirement acceptance open</x:v>
      </x:c>
      <x:c r="N83" s="5" t="str">
        <x:v>Not demonstrated</x:v>
      </x:c>
      <x:c r="O83" s="5" t="str">
        <x:v>Positive and negative identity/trust/revocation tests on both claimed protocol endpoints. Verify: Uniquely identify/authenticate the component to other components.</x:v>
      </x:c>
      <x:c r="P83" s="10" t="str"/>
      <x:c r="Q83" s="10" t="str">
        <x:v>Open</x:v>
      </x:c>
      <x:c r="R83" s="10" t="str"/>
      <x:c r="S83" s="10" t="str"/>
      <x:c r="T83" s="10" t="str"/>
      <x:c r="U83" s="5" t="str">
        <x:f>IF(Q83="Closed",IF(AND(R83&lt;&gt;"",S83&lt;&gt;""),"Closed recorded","Missing evidence/reviewer"),IF(Q83="N/A approved",IF(AND(T83&lt;&gt;"",S83&lt;&gt;""),"N/A recorded","Missing applicability approval"),"Open"))</x:f>
        <x:v>Open</x:v>
      </x:c>
      <x:c r="V83" s="5" t="str">
        <x:v>Normativa/IEC 62443-4-2-2019.pdf</x:v>
      </x:c>
      <x:c r="W83" s="5" t="str"/>
    </x:row>
    <x:row r="84" ht="36" customHeight="1">
      <x:c r="A84" s="5" t="str">
        <x:v>COMP-CR1-5-RE1-01</x:v>
      </x:c>
      <x:c r="B84" s="5" t="str">
        <x:v>CR1.5-RE1</x:v>
      </x:c>
      <x:c r="C84" s="5" t="str">
        <x:v>Hardware authenticators</x:v>
      </x:c>
      <x:c r="D84" s="5" t="str">
        <x:v>Protect relied-upon authenticators with hardware mechanisms</x:v>
      </x:c>
      <x:c r="E84" s="5" t="str">
        <x:v>Conditional mandatory</x:v>
      </x:c>
      <x:c r="F84" s="5" t="str">
        <x:v>Claimed SL-C for relevant FR &gt;= 3; feature conditions apply</x:v>
      </x:c>
      <x:c r="G84" s="5" t="n">
        <x:v>3</x:v>
      </x:c>
      <x:c r="H84" s="5" t="str">
        <x:v>5.7.3</x:v>
      </x:c>
      <x:c r="I84" s="5" t="str">
        <x:v>34</x:v>
      </x:c>
      <x:c r="J84" s="5" t="str">
        <x:v>32</x:v>
      </x:c>
      <x:c r="K84" s="5" t="str">
        <x:v>apps/ccli/adapters/iec61850_mms/mms_adapter.cpp; mms_rbac_security.cpp; adapters/iec60870_104/iec104_tls.cpp; core/config/ccli_config.hpp</x:v>
      </x:c>
      <x:c r="L84" s="5" t="str">
        <x:v>HiTEKS security/PKI lead</x:v>
      </x:c>
      <x:c r="M84" s="5" t="str">
        <x:v>Existing implementation area; requirement acceptance open</x:v>
      </x:c>
      <x:c r="N84" s="5" t="str">
        <x:v>Not demonstrated</x:v>
      </x:c>
      <x:c r="O84" s="5" t="str">
        <x:v>Positive and negative identity/trust/revocation tests on both claimed protocol endpoints. Verify: Protect relied-upon authenticators with hardware mechanisms.</x:v>
      </x:c>
      <x:c r="P84" s="10" t="str"/>
      <x:c r="Q84" s="10" t="str">
        <x:v>Open</x:v>
      </x:c>
      <x:c r="R84" s="10" t="str"/>
      <x:c r="S84" s="10" t="str"/>
      <x:c r="T84" s="10" t="str"/>
      <x:c r="U84" s="5" t="str">
        <x:f>IF(Q84="Closed",IF(AND(R84&lt;&gt;"",S84&lt;&gt;""),"Closed recorded","Missing evidence/reviewer"),IF(Q84="N/A approved",IF(AND(T84&lt;&gt;"",S84&lt;&gt;""),"N/A recorded","Missing applicability approval"),"Open"))</x:f>
        <x:v>Open</x:v>
      </x:c>
      <x:c r="V84" s="5" t="str">
        <x:v>Normativa/IEC 62443-4-2-2019.pdf</x:v>
      </x:c>
      <x:c r="W84" s="5" t="str"/>
    </x:row>
    <x:row r="85" ht="36" customHeight="1">
      <x:c r="A85" s="5" t="str">
        <x:v>COMP-CR1-7-RE1-01</x:v>
      </x:c>
      <x:c r="B85" s="5" t="str">
        <x:v>CR1.7-RE1</x:v>
      </x:c>
      <x:c r="C85" s="5" t="str">
        <x:v>Human password history/lifetime</x:v>
      </x:c>
      <x:c r="D85" s="5" t="str">
        <x:v>Prevent reuse for configurable password generations</x:v>
      </x:c>
      <x:c r="E85" s="5" t="str">
        <x:v>Conditional mandatory</x:v>
      </x:c>
      <x:c r="F85" s="5" t="str">
        <x:v>Claimed SL-C for relevant FR &gt;= 3; feature conditions apply</x:v>
      </x:c>
      <x:c r="G85" s="5" t="n">
        <x:v>3</x:v>
      </x:c>
      <x:c r="H85" s="5" t="str">
        <x:v>5.9.3</x:v>
      </x:c>
      <x:c r="I85" s="5" t="str">
        <x:v>34-35</x:v>
      </x:c>
      <x:c r="J85" s="5" t="str">
        <x:v>32,33</x:v>
      </x:c>
      <x:c r="K85" s="5" t="str">
        <x:v>apps/ccli/adapters/iec61850_mms/mms_rbac.cpp; mms_xacml.cpp; mms_rbac_security.cpp; OpenWrt SSH/LuCI account/session configuration</x:v>
      </x:c>
      <x:c r="L85" s="5" t="str">
        <x:v>HiTEKS firmware and platform leads</x:v>
      </x:c>
      <x:c r="M85" s="5" t="str">
        <x:v>Existing implementation area; requirement acceptance open</x:v>
      </x:c>
      <x:c r="N85" s="5" t="str">
        <x:v>Basic DSO/Viewer path; expanded merged RBAC absent; acceptance open</x:v>
      </x:c>
      <x:c r="O85" s="5" t="str">
        <x:v>Role/service/interface matrix with allowed and denied operations and correlated audit records. Verify: Prevent reuse for configurable password generations.</x:v>
      </x:c>
      <x:c r="P85" s="10" t="str"/>
      <x:c r="Q85" s="10" t="str">
        <x:v>Open</x:v>
      </x:c>
      <x:c r="R85" s="10" t="str"/>
      <x:c r="S85" s="10" t="str"/>
      <x:c r="T85" s="10" t="str"/>
      <x:c r="U85" s="5" t="str">
        <x:f>IF(Q85="Closed",IF(AND(R85&lt;&gt;"",S85&lt;&gt;""),"Closed recorded","Missing evidence/reviewer"),IF(Q85="N/A approved",IF(AND(T85&lt;&gt;"",S85&lt;&gt;""),"N/A recorded","Missing applicability approval"),"Open"))</x:f>
        <x:v>Open</x:v>
      </x:c>
      <x:c r="V85" s="5" t="str">
        <x:v>Normativa/IEC 62443-4-2-2019.pdf</x:v>
      </x:c>
      <x:c r="W85" s="5" t="str"/>
    </x:row>
    <x:row r="86" ht="36" customHeight="1">
      <x:c r="A86" s="5" t="str">
        <x:v>COMP-CR1-7-RE1-02</x:v>
      </x:c>
      <x:c r="B86" s="5" t="str">
        <x:v>CR1.7-RE1</x:v>
      </x:c>
      <x:c r="C86" s="5" t="str">
        <x:v>Human password history/lifetime</x:v>
      </x:c>
      <x:c r="D86" s="5" t="str">
        <x:v>Enforce human password minimum and maximum lifetimes</x:v>
      </x:c>
      <x:c r="E86" s="5" t="str">
        <x:v>Conditional mandatory</x:v>
      </x:c>
      <x:c r="F86" s="5" t="str">
        <x:v>Claimed SL-C for relevant FR &gt;= 3; feature conditions apply</x:v>
      </x:c>
      <x:c r="G86" s="5" t="n">
        <x:v>3</x:v>
      </x:c>
      <x:c r="H86" s="5" t="str">
        <x:v>5.9.3</x:v>
      </x:c>
      <x:c r="I86" s="5" t="str">
        <x:v>34-35</x:v>
      </x:c>
      <x:c r="J86" s="5" t="str">
        <x:v>32,33</x:v>
      </x:c>
      <x:c r="K86" s="5" t="str">
        <x:v>apps/ccli/adapters/iec61850_mms/mms_rbac.cpp; mms_xacml.cpp; mms_rbac_security.cpp; OpenWrt SSH/LuCI account/session configuration</x:v>
      </x:c>
      <x:c r="L86" s="5" t="str">
        <x:v>HiTEKS firmware and platform leads</x:v>
      </x:c>
      <x:c r="M86" s="5" t="str">
        <x:v>Existing implementation area; requirement acceptance open</x:v>
      </x:c>
      <x:c r="N86" s="5" t="str">
        <x:v>Basic DSO/Viewer path; expanded merged RBAC absent; acceptance open</x:v>
      </x:c>
      <x:c r="O86" s="5" t="str">
        <x:v>Role/service/interface matrix with allowed and denied operations and correlated audit records. Verify: Enforce human password minimum and maximum lifetimes.</x:v>
      </x:c>
      <x:c r="P86" s="10" t="str"/>
      <x:c r="Q86" s="10" t="str">
        <x:v>Open</x:v>
      </x:c>
      <x:c r="R86" s="10" t="str"/>
      <x:c r="S86" s="10" t="str"/>
      <x:c r="T86" s="10" t="str"/>
      <x:c r="U86" s="5" t="str">
        <x:f>IF(Q86="Closed",IF(AND(R86&lt;&gt;"",S86&lt;&gt;""),"Closed recorded","Missing evidence/reviewer"),IF(Q86="N/A approved",IF(AND(T86&lt;&gt;"",S86&lt;&gt;""),"N/A recorded","Missing applicability approval"),"Open"))</x:f>
        <x:v>Open</x:v>
      </x:c>
      <x:c r="V86" s="5" t="str">
        <x:v>Normativa/IEC 62443-4-2-2019.pdf</x:v>
      </x:c>
      <x:c r="W86" s="5" t="str"/>
    </x:row>
    <x:row r="87" ht="36" customHeight="1">
      <x:c r="A87" s="5" t="str">
        <x:v>COMP-CR1-7-RE2-01</x:v>
      </x:c>
      <x:c r="B87" s="5" t="str">
        <x:v>CR1.7-RE2</x:v>
      </x:c>
      <x:c r="C87" s="5" t="str">
        <x:v>All-user password lifetime</x:v>
      </x:c>
      <x:c r="D87" s="5" t="str">
        <x:v>Enforce minimum and maximum password lifetime for humans, software processes and devices</x:v>
      </x:c>
      <x:c r="E87" s="5" t="str">
        <x:v>Conditional mandatory</x:v>
      </x:c>
      <x:c r="F87" s="5" t="str">
        <x:v>Claimed SL-C for relevant FR &gt;= 4; feature conditions apply</x:v>
      </x:c>
      <x:c r="G87" s="5" t="n">
        <x:v>4</x:v>
      </x:c>
      <x:c r="H87" s="5" t="str">
        <x:v>5.9.3</x:v>
      </x:c>
      <x:c r="I87" s="5" t="str">
        <x:v>35</x:v>
      </x:c>
      <x:c r="J87" s="5" t="str">
        <x:v>33</x:v>
      </x:c>
      <x:c r="K87" s="5" t="str">
        <x:v>apps/ccli/adapters/iec61850_mms/mms_rbac.cpp; mms_xacml.cpp; mms_rbac_security.cpp; OpenWrt SSH/LuCI account/session configuration</x:v>
      </x:c>
      <x:c r="L87" s="5" t="str">
        <x:v>HiTEKS firmware and platform leads</x:v>
      </x:c>
      <x:c r="M87" s="5" t="str">
        <x:v>Existing implementation area; requirement acceptance open</x:v>
      </x:c>
      <x:c r="N87" s="5" t="str">
        <x:v>Basic DSO/Viewer path; expanded merged RBAC absent; acceptance open</x:v>
      </x:c>
      <x:c r="O87" s="5" t="str">
        <x:v>Role/service/interface matrix with allowed and denied operations and correlated audit records. Verify: Enforce minimum and maximum password lifetime for humans, software processes and devices.</x:v>
      </x:c>
      <x:c r="P87" s="10" t="str"/>
      <x:c r="Q87" s="10" t="str">
        <x:v>Open</x:v>
      </x:c>
      <x:c r="R87" s="10" t="str"/>
      <x:c r="S87" s="10" t="str"/>
      <x:c r="T87" s="10" t="str"/>
      <x:c r="U87" s="5" t="str">
        <x:f>IF(Q87="Closed",IF(AND(R87&lt;&gt;"",S87&lt;&gt;""),"Closed recorded","Missing evidence/reviewer"),IF(Q87="N/A approved",IF(AND(T87&lt;&gt;"",S87&lt;&gt;""),"N/A recorded","Missing applicability approval"),"Open"))</x:f>
        <x:v>Open</x:v>
      </x:c>
      <x:c r="V87" s="5" t="str">
        <x:v>Normativa/IEC 62443-4-2-2019.pdf</x:v>
      </x:c>
      <x:c r="W87" s="5" t="str"/>
    </x:row>
    <x:row r="88" ht="36" customHeight="1">
      <x:c r="A88" s="5" t="str">
        <x:v>COMP-CR1-9-RE1-01</x:v>
      </x:c>
      <x:c r="B88" s="5" t="str">
        <x:v>CR1.9-RE1</x:v>
      </x:c>
      <x:c r="C88" s="5" t="str">
        <x:v>Hardware public-key protection</x:v>
      </x:c>
      <x:c r="D88" s="5" t="str">
        <x:v>Protect critical long-lived private keys with hardware mechanisms</x:v>
      </x:c>
      <x:c r="E88" s="5" t="str">
        <x:v>Conditional mandatory</x:v>
      </x:c>
      <x:c r="F88" s="5" t="str">
        <x:v>Claimed SL-C for relevant FR &gt;= 3; feature conditions apply</x:v>
      </x:c>
      <x:c r="G88" s="5" t="n">
        <x:v>3</x:v>
      </x:c>
      <x:c r="H88" s="5" t="str">
        <x:v>5.11.3</x:v>
      </x:c>
      <x:c r="I88" s="5" t="str">
        <x:v>37</x:v>
      </x:c>
      <x:c r="J88" s="5" t="str">
        <x:v>35</x:v>
      </x:c>
      <x:c r="K88" s="5" t="str">
        <x:v>apps/ccli/adapters/iec61850_mms/mms_adapter.cpp; mms_rbac_security.cpp; adapters/iec60870_104/iec104_tls.cpp; core/config/ccli_config.hpp</x:v>
      </x:c>
      <x:c r="L88" s="5" t="str">
        <x:v>HiTEKS security/PKI lead</x:v>
      </x:c>
      <x:c r="M88" s="5" t="str">
        <x:v>Existing implementation area; requirement acceptance open</x:v>
      </x:c>
      <x:c r="N88" s="5" t="str">
        <x:v>Not demonstrated</x:v>
      </x:c>
      <x:c r="O88" s="5" t="str">
        <x:v>Positive and negative identity/trust/revocation tests on both claimed protocol endpoints. Verify: Protect critical long-lived private keys with hardware mechanisms.</x:v>
      </x:c>
      <x:c r="P88" s="10" t="str"/>
      <x:c r="Q88" s="10" t="str">
        <x:v>Open</x:v>
      </x:c>
      <x:c r="R88" s="10" t="str"/>
      <x:c r="S88" s="10" t="str"/>
      <x:c r="T88" s="10" t="str"/>
      <x:c r="U88" s="5" t="str">
        <x:f>IF(Q88="Closed",IF(AND(R88&lt;&gt;"",S88&lt;&gt;""),"Closed recorded","Missing evidence/reviewer"),IF(Q88="N/A approved",IF(AND(T88&lt;&gt;"",S88&lt;&gt;""),"N/A recorded","Missing applicability approval"),"Open"))</x:f>
        <x:v>Open</x:v>
      </x:c>
      <x:c r="V88" s="5" t="str">
        <x:v>Normativa/IEC 62443-4-2-2019.pdf</x:v>
      </x:c>
      <x:c r="W88" s="5" t="str"/>
    </x:row>
    <x:row r="89" ht="36" customHeight="1">
      <x:c r="A89" s="5" t="str">
        <x:v>COMP-CR1-14-RE1-01</x:v>
      </x:c>
      <x:c r="B89" s="5" t="str">
        <x:v>CR1.14-RE1</x:v>
      </x:c>
      <x:c r="C89" s="5" t="str">
        <x:v>Hardware symmetric-key protection</x:v>
      </x:c>
      <x:c r="D89" s="5" t="str">
        <x:v>Protect critical long-lived symmetric keys with hardware mechanisms</x:v>
      </x:c>
      <x:c r="E89" s="5" t="str">
        <x:v>Conditional mandatory</x:v>
      </x:c>
      <x:c r="F89" s="5" t="str">
        <x:v>Claimed SL-C for relevant FR &gt;= 3; feature conditions apply</x:v>
      </x:c>
      <x:c r="G89" s="5" t="n">
        <x:v>3</x:v>
      </x:c>
      <x:c r="H89" s="5" t="str">
        <x:v>5.16.3</x:v>
      </x:c>
      <x:c r="I89" s="5" t="str">
        <x:v>39</x:v>
      </x:c>
      <x:c r="J89" s="5" t="str">
        <x:v>37</x:v>
      </x:c>
      <x:c r="K89" s="5" t="str">
        <x:v>apps/ccli/third_party/libiec61850/hal/tls/mbedtls3; adapters/iec61850_mms/mms_adapter.cpp; adapters/iec60870_104/iec104_tls.cpp; cmake/tls_allowlist_validation.cmake</x:v>
      </x:c>
      <x:c r="L89" s="5" t="str">
        <x:v>HiTEKS security + Tespro platform</x:v>
      </x:c>
      <x:c r="M89" s="5" t="str">
        <x:v>Existing implementation area; requirement acceptance open</x:v>
      </x:c>
      <x:c r="N89" s="5" t="str">
        <x:v>Not demonstrated</x:v>
      </x:c>
      <x:c r="O89" s="5" t="str">
        <x:v>Frozen-build algorithm/policy tests, key handling review and negative negotiation evidence. Verify: Protect critical long-lived symmetric keys with hardware mechanisms.</x:v>
      </x:c>
      <x:c r="P89" s="10" t="str"/>
      <x:c r="Q89" s="10" t="str">
        <x:v>Open</x:v>
      </x:c>
      <x:c r="R89" s="10" t="str"/>
      <x:c r="S89" s="10" t="str"/>
      <x:c r="T89" s="10" t="str"/>
      <x:c r="U89" s="5" t="str">
        <x:f>IF(Q89="Closed",IF(AND(R89&lt;&gt;"",S89&lt;&gt;""),"Closed recorded","Missing evidence/reviewer"),IF(Q89="N/A approved",IF(AND(T89&lt;&gt;"",S89&lt;&gt;""),"N/A recorded","Missing applicability approval"),"Open"))</x:f>
        <x:v>Open</x:v>
      </x:c>
      <x:c r="V89" s="5" t="str">
        <x:v>Normativa/IEC 62443-4-2-2019.pdf</x:v>
      </x:c>
      <x:c r="W89" s="5" t="str"/>
    </x:row>
    <x:row r="90" ht="36" customHeight="1">
      <x:c r="A90" s="5" t="str">
        <x:v>COMP-CR2-1-RE1-01</x:v>
      </x:c>
      <x:c r="B90" s="5" t="str">
        <x:v>CR2.1-RE1</x:v>
      </x:c>
      <x:c r="C90" s="5" t="str">
        <x:v>All-user authorization</x:v>
      </x:c>
      <x:c r="D90" s="5" t="str">
        <x:v>Enforce authorization and least privilege for humans, software processes and devices</x:v>
      </x:c>
      <x:c r="E90" s="5" t="str">
        <x:v>Conditional mandatory</x:v>
      </x:c>
      <x:c r="F90" s="5" t="str">
        <x:v>Claimed SL-C for relevant FR &gt;= 2; feature conditions apply</x:v>
      </x:c>
      <x:c r="G90" s="5" t="n">
        <x:v>2</x:v>
      </x:c>
      <x:c r="H90" s="5" t="str">
        <x:v>6.3.3</x:v>
      </x:c>
      <x:c r="I90" s="5" t="str">
        <x:v>41</x:v>
      </x:c>
      <x:c r="J90" s="5" t="str">
        <x:v>39</x:v>
      </x:c>
      <x:c r="K90" s="5" t="str">
        <x:v>apps/ccli/adapters/iec61850_mms/mms_rbac.cpp; mms_xacml.cpp; mms_rbac_security.cpp; OpenWrt SSH/LuCI account/session configuration</x:v>
      </x:c>
      <x:c r="L90" s="5" t="str">
        <x:v>HiTEKS firmware and platform leads</x:v>
      </x:c>
      <x:c r="M90" s="5" t="str">
        <x:v>Existing implementation area; requirement acceptance open</x:v>
      </x:c>
      <x:c r="N90" s="5" t="str">
        <x:v>Basic DSO/Viewer path; expanded merged RBAC absent; acceptance open</x:v>
      </x:c>
      <x:c r="O90" s="5" t="str">
        <x:v>Role/service/interface matrix with allowed and denied operations and correlated audit records. Verify: Enforce authorization and least privilege for humans, software processes and devices.</x:v>
      </x:c>
      <x:c r="P90" s="10" t="str"/>
      <x:c r="Q90" s="10" t="str">
        <x:v>Open</x:v>
      </x:c>
      <x:c r="R90" s="10" t="str"/>
      <x:c r="S90" s="10" t="str"/>
      <x:c r="T90" s="10" t="str"/>
      <x:c r="U90" s="5" t="str">
        <x:f>IF(Q90="Closed",IF(AND(R90&lt;&gt;"",S90&lt;&gt;""),"Closed recorded","Missing evidence/reviewer"),IF(Q90="N/A approved",IF(AND(T90&lt;&gt;"",S90&lt;&gt;""),"N/A recorded","Missing applicability approval"),"Open"))</x:f>
        <x:v>Open</x:v>
      </x:c>
      <x:c r="V90" s="5" t="str">
        <x:v>Normativa/IEC 62443-4-2-2019.pdf</x:v>
      </x:c>
      <x:c r="W90" s="5" t="str"/>
    </x:row>
    <x:row r="91" ht="47" customHeight="1">
      <x:c r="A91" s="5" t="str">
        <x:v>COMP-CR2-1-RE2-01</x:v>
      </x:c>
      <x:c r="B91" s="5" t="str">
        <x:v>CR2.1-RE2</x:v>
      </x:c>
      <x:c r="C91" s="5" t="str">
        <x:v>Role permission administration</x:v>
      </x:c>
      <x:c r="D91" s="5" t="str">
        <x:v>Allow an authorized role to define/modify human role-to-permission mappings directly or through compensating mechanisms</x:v>
      </x:c>
      <x:c r="E91" s="5" t="str">
        <x:v>Conditional mandatory</x:v>
      </x:c>
      <x:c r="F91" s="5" t="str">
        <x:v>Claimed SL-C for relevant FR &gt;= 2; feature conditions apply</x:v>
      </x:c>
      <x:c r="G91" s="5" t="n">
        <x:v>2</x:v>
      </x:c>
      <x:c r="H91" s="5" t="str">
        <x:v>6.3.3</x:v>
      </x:c>
      <x:c r="I91" s="5" t="str">
        <x:v>41</x:v>
      </x:c>
      <x:c r="J91" s="5" t="str">
        <x:v>39</x:v>
      </x:c>
      <x:c r="K91" s="5" t="str">
        <x:v>apps/ccli/adapters/iec61850_mms/mms_rbac.cpp; mms_xacml.cpp; mms_rbac_security.cpp; OpenWrt SSH/LuCI account/session configuration</x:v>
      </x:c>
      <x:c r="L91" s="5" t="str">
        <x:v>HiTEKS firmware and platform leads</x:v>
      </x:c>
      <x:c r="M91" s="5" t="str">
        <x:v>Existing implementation area; requirement acceptance open</x:v>
      </x:c>
      <x:c r="N91" s="5" t="str">
        <x:v>Basic DSO/Viewer path; expanded merged RBAC absent; acceptance open</x:v>
      </x:c>
      <x:c r="O91" s="5" t="str">
        <x:v>Role/service/interface matrix with allowed and denied operations and correlated audit records. Verify: Allow an authorized role to define/modify human role-to-permission mappings directly or through compensating mechanisms.</x:v>
      </x:c>
      <x:c r="P91" s="10" t="str"/>
      <x:c r="Q91" s="10" t="str">
        <x:v>Open</x:v>
      </x:c>
      <x:c r="R91" s="10" t="str"/>
      <x:c r="S91" s="10" t="str"/>
      <x:c r="T91" s="10" t="str"/>
      <x:c r="U91" s="5" t="str">
        <x:f>IF(Q91="Closed",IF(AND(R91&lt;&gt;"",S91&lt;&gt;""),"Closed recorded","Missing evidence/reviewer"),IF(Q91="N/A approved",IF(AND(T91&lt;&gt;"",S91&lt;&gt;""),"N/A recorded","Missing applicability approval"),"Open"))</x:f>
        <x:v>Open</x:v>
      </x:c>
      <x:c r="V91" s="5" t="str">
        <x:v>Normativa/IEC 62443-4-2-2019.pdf</x:v>
      </x:c>
      <x:c r="W91" s="5" t="str"/>
    </x:row>
    <x:row r="92" ht="36" customHeight="1">
      <x:c r="A92" s="5" t="str">
        <x:v>COMP-CR2-1-RE3-01</x:v>
      </x:c>
      <x:c r="B92" s="5" t="str">
        <x:v>CR2.1-RE3</x:v>
      </x:c>
      <x:c r="C92" s="5" t="str">
        <x:v>Supervisor override</x:v>
      </x:c>
      <x:c r="D92" s="5" t="str">
        <x:v>Provide manual supervisor override for configurable duration or event sequence</x:v>
      </x:c>
      <x:c r="E92" s="5" t="str">
        <x:v>Conditional mandatory</x:v>
      </x:c>
      <x:c r="F92" s="5" t="str">
        <x:v>Claimed SL-C for relevant FR &gt;= 3; feature conditions apply</x:v>
      </x:c>
      <x:c r="G92" s="5" t="n">
        <x:v>3</x:v>
      </x:c>
      <x:c r="H92" s="5" t="str">
        <x:v>6.3.3</x:v>
      </x:c>
      <x:c r="I92" s="5" t="str">
        <x:v>41</x:v>
      </x:c>
      <x:c r="J92" s="5" t="str">
        <x:v>39</x:v>
      </x:c>
      <x:c r="K92" s="5" t="str">
        <x:v>apps/ccli/adapters/iec61850_mms/mms_rbac.cpp; mms_xacml.cpp; mms_rbac_security.cpp; OpenWrt SSH/LuCI account/session configuration</x:v>
      </x:c>
      <x:c r="L92" s="5" t="str">
        <x:v>HiTEKS firmware and platform leads</x:v>
      </x:c>
      <x:c r="M92" s="5" t="str">
        <x:v>Existing implementation area; requirement acceptance open</x:v>
      </x:c>
      <x:c r="N92" s="5" t="str">
        <x:v>Basic DSO/Viewer path; expanded merged RBAC absent; acceptance open</x:v>
      </x:c>
      <x:c r="O92" s="5" t="str">
        <x:v>Role/service/interface matrix with allowed and denied operations and correlated audit records. Verify: Provide manual supervisor override for configurable duration or event sequence.</x:v>
      </x:c>
      <x:c r="P92" s="10" t="str"/>
      <x:c r="Q92" s="10" t="str">
        <x:v>Open</x:v>
      </x:c>
      <x:c r="R92" s="10" t="str"/>
      <x:c r="S92" s="10" t="str"/>
      <x:c r="T92" s="10" t="str"/>
      <x:c r="U92" s="5" t="str">
        <x:f>IF(Q92="Closed",IF(AND(R92&lt;&gt;"",S92&lt;&gt;""),"Closed recorded","Missing evidence/reviewer"),IF(Q92="N/A approved",IF(AND(T92&lt;&gt;"",S92&lt;&gt;""),"N/A recorded","Missing applicability approval"),"Open"))</x:f>
        <x:v>Open</x:v>
      </x:c>
      <x:c r="V92" s="5" t="str">
        <x:v>Normativa/IEC 62443-4-2-2019.pdf</x:v>
      </x:c>
      <x:c r="W92" s="5" t="str"/>
    </x:row>
    <x:row r="93" ht="36" customHeight="1">
      <x:c r="A93" s="5" t="str">
        <x:v>COMP-CR2-1-RE4-01</x:v>
      </x:c>
      <x:c r="B93" s="5" t="str">
        <x:v>CR2.1-RE4</x:v>
      </x:c>
      <x:c r="C93" s="5" t="str">
        <x:v>Dual approval</x:v>
      </x:c>
      <x:c r="D93" s="5" t="str">
        <x:v>Support dual approval for actions with serious industrial-process impact</x:v>
      </x:c>
      <x:c r="E93" s="5" t="str">
        <x:v>Conditional mandatory</x:v>
      </x:c>
      <x:c r="F93" s="5" t="str">
        <x:v>Claimed SL-C for relevant FR &gt;= 4; feature conditions apply</x:v>
      </x:c>
      <x:c r="G93" s="5" t="n">
        <x:v>4</x:v>
      </x:c>
      <x:c r="H93" s="5" t="str">
        <x:v>6.3.3</x:v>
      </x:c>
      <x:c r="I93" s="5" t="str">
        <x:v>41</x:v>
      </x:c>
      <x:c r="J93" s="5" t="str">
        <x:v>39</x:v>
      </x:c>
      <x:c r="K93" s="5" t="str">
        <x:v>apps/ccli/adapters/iec61850_mms/mms_rbac.cpp; mms_xacml.cpp; mms_rbac_security.cpp; OpenWrt SSH/LuCI account/session configuration</x:v>
      </x:c>
      <x:c r="L93" s="5" t="str">
        <x:v>HiTEKS firmware and platform leads</x:v>
      </x:c>
      <x:c r="M93" s="5" t="str">
        <x:v>Existing implementation area; requirement acceptance open</x:v>
      </x:c>
      <x:c r="N93" s="5" t="str">
        <x:v>Basic DSO/Viewer path; expanded merged RBAC absent; acceptance open</x:v>
      </x:c>
      <x:c r="O93" s="5" t="str">
        <x:v>Role/service/interface matrix with allowed and denied operations and correlated audit records. Verify: Support dual approval for actions with serious industrial-process impact.</x:v>
      </x:c>
      <x:c r="P93" s="10" t="str"/>
      <x:c r="Q93" s="10" t="str">
        <x:v>Open</x:v>
      </x:c>
      <x:c r="R93" s="10" t="str"/>
      <x:c r="S93" s="10" t="str"/>
      <x:c r="T93" s="10" t="str"/>
      <x:c r="U93" s="5" t="str">
        <x:f>IF(Q93="Closed",IF(AND(R93&lt;&gt;"",S93&lt;&gt;""),"Closed recorded","Missing evidence/reviewer"),IF(Q93="N/A approved",IF(AND(T93&lt;&gt;"",S93&lt;&gt;""),"N/A recorded","Missing applicability approval"),"Open"))</x:f>
        <x:v>Open</x:v>
      </x:c>
      <x:c r="V93" s="5" t="str">
        <x:v>Normativa/IEC 62443-4-2-2019.pdf</x:v>
      </x:c>
      <x:c r="W93" s="5" t="str"/>
    </x:row>
    <x:row r="94" ht="36" customHeight="1">
      <x:c r="A94" s="5" t="str">
        <x:v>COMP-CR2-9-RE1-01</x:v>
      </x:c>
      <x:c r="B94" s="5" t="str">
        <x:v>CR2.9-RE1</x:v>
      </x:c>
      <x:c r="C94" s="5" t="str">
        <x:v>Audit capacity warning</x:v>
      </x:c>
      <x:c r="D94" s="5" t="str">
        <x:v>Warn when allocated audit storage reaches a configurable threshold</x:v>
      </x:c>
      <x:c r="E94" s="5" t="str">
        <x:v>Conditional mandatory</x:v>
      </x:c>
      <x:c r="F94" s="5" t="str">
        <x:v>Claimed SL-C for relevant FR &gt;= 3; feature conditions apply</x:v>
      </x:c>
      <x:c r="G94" s="5" t="n">
        <x:v>3</x:v>
      </x:c>
      <x:c r="H94" s="5" t="str">
        <x:v>6.11.3</x:v>
      </x:c>
      <x:c r="I94" s="5" t="str">
        <x:v>45</x:v>
      </x:c>
      <x:c r="J94" s="5" t="str">
        <x:v>43</x:v>
      </x:c>
      <x:c r="K94" s="5" t="str">
        <x:v>apps/ccli/core/event/event_store.cpp; adapters/iec61850_mms/mms_adapter.cpp; OpenWrt logging/collector configuration</x:v>
      </x:c>
      <x:c r="L94" s="5" t="str">
        <x:v>HiTEKS firmware/platform leads</x:v>
      </x:c>
      <x:c r="M94" s="5" t="str">
        <x:v>Existing implementation area; requirement acceptance open</x:v>
      </x:c>
      <x:c r="N94" s="5" t="str">
        <x:v>Not demonstrated</x:v>
      </x:c>
      <x:c r="O94" s="5" t="str">
        <x:v>Generate required events; verify fields, permissions, retention, failure response and receiver records. Verify: Warn when allocated audit storage reaches a configurable threshold.</x:v>
      </x:c>
      <x:c r="P94" s="10" t="str"/>
      <x:c r="Q94" s="10" t="str">
        <x:v>Open</x:v>
      </x:c>
      <x:c r="R94" s="10" t="str"/>
      <x:c r="S94" s="10" t="str"/>
      <x:c r="T94" s="10" t="str"/>
      <x:c r="U94" s="5" t="str">
        <x:f>IF(Q94="Closed",IF(AND(R94&lt;&gt;"",S94&lt;&gt;""),"Closed recorded","Missing evidence/reviewer"),IF(Q94="N/A approved",IF(AND(T94&lt;&gt;"",S94&lt;&gt;""),"N/A recorded","Missing applicability approval"),"Open"))</x:f>
        <x:v>Open</x:v>
      </x:c>
      <x:c r="V94" s="5" t="str">
        <x:v>Normativa/IEC 62443-4-2-2019.pdf</x:v>
      </x:c>
      <x:c r="W94" s="5" t="str"/>
    </x:row>
    <x:row r="95" ht="36" customHeight="1">
      <x:c r="A95" s="5" t="str">
        <x:v>COMP-CR2-11-RE1-01</x:v>
      </x:c>
      <x:c r="B95" s="5" t="str">
        <x:v>CR2.11-RE1</x:v>
      </x:c>
      <x:c r="C95" s="5" t="str">
        <x:v>Time synchronization</x:v>
      </x:c>
      <x:c r="D95" s="5" t="str">
        <x:v>Synchronize audit timestamps to a system-wide time source</x:v>
      </x:c>
      <x:c r="E95" s="5" t="str">
        <x:v>Conditional mandatory</x:v>
      </x:c>
      <x:c r="F95" s="5" t="str">
        <x:v>Claimed SL-C for relevant FR &gt;= 2; feature conditions apply</x:v>
      </x:c>
      <x:c r="G95" s="5" t="n">
        <x:v>2</x:v>
      </x:c>
      <x:c r="H95" s="5" t="str">
        <x:v>6.13.3</x:v>
      </x:c>
      <x:c r="I95" s="5" t="str">
        <x:v>46</x:v>
      </x:c>
      <x:c r="J95" s="5" t="str">
        <x:v>44</x:v>
      </x:c>
      <x:c r="K95" s="5" t="str">
        <x:v>apps/ccli/core/event/event_store.cpp; adapters/iec61850_mms/mms_adapter.cpp; OpenWrt logging/collector configuration</x:v>
      </x:c>
      <x:c r="L95" s="5" t="str">
        <x:v>HiTEKS firmware/platform leads</x:v>
      </x:c>
      <x:c r="M95" s="5" t="str">
        <x:v>Existing implementation area; requirement acceptance open</x:v>
      </x:c>
      <x:c r="N95" s="5" t="str">
        <x:v>Not demonstrated</x:v>
      </x:c>
      <x:c r="O95" s="5" t="str">
        <x:v>Generate required events; verify fields, permissions, retention, failure response and receiver records. Verify: Synchronize audit timestamps to a system-wide time source.</x:v>
      </x:c>
      <x:c r="P95" s="10" t="str"/>
      <x:c r="Q95" s="10" t="str">
        <x:v>Open</x:v>
      </x:c>
      <x:c r="R95" s="10" t="str"/>
      <x:c r="S95" s="10" t="str"/>
      <x:c r="T95" s="10" t="str"/>
      <x:c r="U95" s="5" t="str">
        <x:f>IF(Q95="Closed",IF(AND(R95&lt;&gt;"",S95&lt;&gt;""),"Closed recorded","Missing evidence/reviewer"),IF(Q95="N/A approved",IF(AND(T95&lt;&gt;"",S95&lt;&gt;""),"N/A recorded","Missing applicability approval"),"Open"))</x:f>
        <x:v>Open</x:v>
      </x:c>
      <x:c r="V95" s="5" t="str">
        <x:v>Normativa/IEC 62443-4-2-2019.pdf</x:v>
      </x:c>
      <x:c r="W95" s="5" t="str"/>
    </x:row>
    <x:row r="96" ht="36" customHeight="1">
      <x:c r="A96" s="5" t="str">
        <x:v>COMP-CR2-11-RE2-01</x:v>
      </x:c>
      <x:c r="B96" s="5" t="str">
        <x:v>CR2.11-RE2</x:v>
      </x:c>
      <x:c r="C96" s="5" t="str">
        <x:v>Time-source integrity</x:v>
      </x:c>
      <x:c r="D96" s="5" t="str">
        <x:v>Detect unauthorized time-source alteration and audit it</x:v>
      </x:c>
      <x:c r="E96" s="5" t="str">
        <x:v>Conditional mandatory</x:v>
      </x:c>
      <x:c r="F96" s="5" t="str">
        <x:v>Claimed SL-C for relevant FR &gt;= 4; feature conditions apply</x:v>
      </x:c>
      <x:c r="G96" s="5" t="n">
        <x:v>4</x:v>
      </x:c>
      <x:c r="H96" s="5" t="str">
        <x:v>6.13.3</x:v>
      </x:c>
      <x:c r="I96" s="5" t="str">
        <x:v>46</x:v>
      </x:c>
      <x:c r="J96" s="5" t="str">
        <x:v>44</x:v>
      </x:c>
      <x:c r="K96" s="5" t="str">
        <x:v>apps/ccli/core/event/event_store.cpp; adapters/iec61850_mms/mms_adapter.cpp; OpenWrt logging/collector configuration</x:v>
      </x:c>
      <x:c r="L96" s="5" t="str">
        <x:v>HiTEKS firmware/platform leads</x:v>
      </x:c>
      <x:c r="M96" s="5" t="str">
        <x:v>Existing implementation area; requirement acceptance open</x:v>
      </x:c>
      <x:c r="N96" s="5" t="str">
        <x:v>Not demonstrated</x:v>
      </x:c>
      <x:c r="O96" s="5" t="str">
        <x:v>Generate required events; verify fields, permissions, retention, failure response and receiver records. Verify: Detect unauthorized time-source alteration and audit it.</x:v>
      </x:c>
      <x:c r="P96" s="10" t="str"/>
      <x:c r="Q96" s="10" t="str">
        <x:v>Open</x:v>
      </x:c>
      <x:c r="R96" s="10" t="str"/>
      <x:c r="S96" s="10" t="str"/>
      <x:c r="T96" s="10" t="str"/>
      <x:c r="U96" s="5" t="str">
        <x:f>IF(Q96="Closed",IF(AND(R96&lt;&gt;"",S96&lt;&gt;""),"Closed recorded","Missing evidence/reviewer"),IF(Q96="N/A approved",IF(AND(T96&lt;&gt;"",S96&lt;&gt;""),"N/A recorded","Missing applicability approval"),"Open"))</x:f>
        <x:v>Open</x:v>
      </x:c>
      <x:c r="V96" s="5" t="str">
        <x:v>Normativa/IEC 62443-4-2-2019.pdf</x:v>
      </x:c>
      <x:c r="W96" s="5" t="str"/>
    </x:row>
    <x:row r="97" ht="36" customHeight="1">
      <x:c r="A97" s="5" t="str">
        <x:v>COMP-CR2-12-RE1-01</x:v>
      </x:c>
      <x:c r="B97" s="5" t="str">
        <x:v>CR2.12-RE1</x:v>
      </x:c>
      <x:c r="C97" s="5" t="str">
        <x:v>All-user non-repudiation</x:v>
      </x:c>
      <x:c r="D97" s="5" t="str">
        <x:v>Determine actions attributable to humans, processes and devices</x:v>
      </x:c>
      <x:c r="E97" s="5" t="str">
        <x:v>Conditional mandatory</x:v>
      </x:c>
      <x:c r="F97" s="5" t="str">
        <x:v>Claimed SL-C for relevant FR &gt;= 4; feature conditions apply</x:v>
      </x:c>
      <x:c r="G97" s="5" t="n">
        <x:v>4</x:v>
      </x:c>
      <x:c r="H97" s="5" t="str">
        <x:v>6.14.3</x:v>
      </x:c>
      <x:c r="I97" s="5" t="str">
        <x:v>47</x:v>
      </x:c>
      <x:c r="J97" s="5" t="str">
        <x:v>45</x:v>
      </x:c>
      <x:c r="K97" s="5" t="str">
        <x:v>apps/ccli/core/event/event_store.cpp; adapters/iec61850_mms/mms_adapter.cpp; OpenWrt logging/collector configuration</x:v>
      </x:c>
      <x:c r="L97" s="5" t="str">
        <x:v>HiTEKS firmware/platform leads</x:v>
      </x:c>
      <x:c r="M97" s="5" t="str">
        <x:v>Existing implementation area; requirement acceptance open</x:v>
      </x:c>
      <x:c r="N97" s="5" t="str">
        <x:v>Not demonstrated</x:v>
      </x:c>
      <x:c r="O97" s="5" t="str">
        <x:v>Generate required events; verify fields, permissions, retention, failure response and receiver records. Verify: Determine actions attributable to humans, processes and devices.</x:v>
      </x:c>
      <x:c r="P97" s="10" t="str"/>
      <x:c r="Q97" s="10" t="str">
        <x:v>Open</x:v>
      </x:c>
      <x:c r="R97" s="10" t="str"/>
      <x:c r="S97" s="10" t="str"/>
      <x:c r="T97" s="10" t="str"/>
      <x:c r="U97" s="5" t="str">
        <x:f>IF(Q97="Closed",IF(AND(R97&lt;&gt;"",S97&lt;&gt;""),"Closed recorded","Missing evidence/reviewer"),IF(Q97="N/A approved",IF(AND(T97&lt;&gt;"",S97&lt;&gt;""),"N/A recorded","Missing applicability approval"),"Open"))</x:f>
        <x:v>Open</x:v>
      </x:c>
      <x:c r="V97" s="5" t="str">
        <x:v>Normativa/IEC 62443-4-2-2019.pdf</x:v>
      </x:c>
      <x:c r="W97" s="5" t="str"/>
    </x:row>
    <x:row r="98" ht="36" customHeight="1">
      <x:c r="A98" s="5" t="str">
        <x:v>COMP-CR3-1-RE1-01</x:v>
      </x:c>
      <x:c r="B98" s="5" t="str">
        <x:v>CR3.1-RE1</x:v>
      </x:c>
      <x:c r="C98" s="5" t="str">
        <x:v>Communication authenticity</x:v>
      </x:c>
      <x:c r="D98" s="5" t="str">
        <x:v>Verify authenticity of received information</x:v>
      </x:c>
      <x:c r="E98" s="5" t="str">
        <x:v>Conditional mandatory</x:v>
      </x:c>
      <x:c r="F98" s="5" t="str">
        <x:v>Claimed SL-C for relevant FR &gt;= 2; feature conditions apply</x:v>
      </x:c>
      <x:c r="G98" s="5" t="n">
        <x:v>2</x:v>
      </x:c>
      <x:c r="H98" s="5" t="str">
        <x:v>7.3.3</x:v>
      </x:c>
      <x:c r="I98" s="5" t="str">
        <x:v>49</x:v>
      </x:c>
      <x:c r="J98" s="5" t="str">
        <x:v>47</x:v>
      </x:c>
      <x:c r="K98" s="5" t="str">
        <x:v>apps/ccli/third_party/libiec61850/hal/tls/mbedtls3; adapters/iec61850_mms/mms_adapter.cpp; adapters/iec60870_104/iec104_tls.cpp; cmake/tls_allowlist_validation.cmake</x:v>
      </x:c>
      <x:c r="L98" s="5" t="str">
        <x:v>HiTEKS security + Tespro platform</x:v>
      </x:c>
      <x:c r="M98" s="5" t="str">
        <x:v>Existing implementation area; requirement acceptance open</x:v>
      </x:c>
      <x:c r="N98" s="5" t="str">
        <x:v>Not demonstrated</x:v>
      </x:c>
      <x:c r="O98" s="5" t="str">
        <x:v>Frozen-build algorithm/policy tests, key handling review and negative negotiation evidence. Verify: Verify authenticity of received information.</x:v>
      </x:c>
      <x:c r="P98" s="10" t="str"/>
      <x:c r="Q98" s="10" t="str">
        <x:v>Open</x:v>
      </x:c>
      <x:c r="R98" s="10" t="str"/>
      <x:c r="S98" s="10" t="str"/>
      <x:c r="T98" s="10" t="str"/>
      <x:c r="U98" s="5" t="str">
        <x:f>IF(Q98="Closed",IF(AND(R98&lt;&gt;"",S98&lt;&gt;""),"Closed recorded","Missing evidence/reviewer"),IF(Q98="N/A approved",IF(AND(T98&lt;&gt;"",S98&lt;&gt;""),"N/A recorded","Missing applicability approval"),"Open"))</x:f>
        <x:v>Open</x:v>
      </x:c>
      <x:c r="V98" s="5" t="str">
        <x:v>Normativa/IEC 62443-4-2-2019.pdf</x:v>
      </x:c>
      <x:c r="W98" s="5" t="str"/>
    </x:row>
    <x:row r="99" ht="36" customHeight="1">
      <x:c r="A99" s="5" t="str">
        <x:v>COMP-CR3-3-RE1-01</x:v>
      </x:c>
      <x:c r="B99" s="5" t="str">
        <x:v>CR3.3-RE1</x:v>
      </x:c>
      <x:c r="C99" s="5" t="str">
        <x:v>Online security verification</x:v>
      </x:c>
      <x:c r="D99" s="5" t="str">
        <x:v>Verify intended security-function operation during normal operation</x:v>
      </x:c>
      <x:c r="E99" s="5" t="str">
        <x:v>Conditional mandatory</x:v>
      </x:c>
      <x:c r="F99" s="5" t="str">
        <x:v>Claimed SL-C for relevant FR &gt;= 4; feature conditions apply</x:v>
      </x:c>
      <x:c r="G99" s="5" t="n">
        <x:v>4</x:v>
      </x:c>
      <x:c r="H99" s="5" t="str">
        <x:v>7.5.3</x:v>
      </x:c>
      <x:c r="I99" s="5" t="str">
        <x:v>49</x:v>
      </x:c>
      <x:c r="J99" s="5" t="str">
        <x:v>47</x:v>
      </x:c>
      <x:c r="K99" s="5" t="str">
        <x:v>apps/ccli/tests/unit; apps/ccli/tests/integration; lab/conformance; lab/evidence; independent-test records required</x:v>
      </x:c>
      <x:c r="L99" s="5" t="str">
        <x:v>Independent QA/security test lead</x:v>
      </x:c>
      <x:c r="M99" s="5" t="str">
        <x:v>Not demonstrated</x:v>
      </x:c>
      <x:c r="N99" s="5" t="str">
        <x:v>Not demonstrated</x:v>
      </x:c>
      <x:c r="O99" s="5" t="str">
        <x:v>Versioned test plan, raw positive/negative results, tester independence and closed defects. Verify: Verify intended security-function operation during normal operation.</x:v>
      </x:c>
      <x:c r="P99" s="10" t="str"/>
      <x:c r="Q99" s="10" t="str">
        <x:v>Open</x:v>
      </x:c>
      <x:c r="R99" s="10" t="str"/>
      <x:c r="S99" s="10" t="str"/>
      <x:c r="T99" s="10" t="str"/>
      <x:c r="U99" s="5" t="str">
        <x:f>IF(Q99="Closed",IF(AND(R99&lt;&gt;"",S99&lt;&gt;""),"Closed recorded","Missing evidence/reviewer"),IF(Q99="N/A approved",IF(AND(T99&lt;&gt;"",S99&lt;&gt;""),"N/A recorded","Missing applicability approval"),"Open"))</x:f>
        <x:v>Open</x:v>
      </x:c>
      <x:c r="V99" s="5" t="str">
        <x:v>Normativa/IEC 62443-4-2-2019.pdf</x:v>
      </x:c>
      <x:c r="W99" s="5" t="str"/>
    </x:row>
    <x:row r="100" ht="47" customHeight="1">
      <x:c r="A100" s="5" t="str">
        <x:v>COMP-CR3-4-RE1-01</x:v>
      </x:c>
      <x:c r="B100" s="5" t="str">
        <x:v>CR3.4-RE1</x:v>
      </x:c>
      <x:c r="C100" s="5" t="str">
        <x:v>Software/information authenticity</x:v>
      </x:c>
      <x:c r="D100" s="5" t="str">
        <x:v>Check authenticity of software/configuration/information and record/report results, directly or through system integration</x:v>
      </x:c>
      <x:c r="E100" s="5" t="str">
        <x:v>Conditional mandatory</x:v>
      </x:c>
      <x:c r="F100" s="5" t="str">
        <x:v>Claimed SL-C for relevant FR &gt;= 2; feature conditions apply</x:v>
      </x:c>
      <x:c r="G100" s="5" t="n">
        <x:v>2</x:v>
      </x:c>
      <x:c r="H100" s="5" t="str">
        <x:v>7.6.3</x:v>
      </x:c>
      <x:c r="I100" s="5" t="str">
        <x:v>50</x:v>
      </x:c>
      <x:c r="J100" s="5" t="str">
        <x:v>48</x:v>
      </x:c>
      <x:c r="K100" s="5" t="str">
        <x:v>Tespro BootROM/bootloader/rootfs/recovery and fuse policy; apps/firmware-updater public TPM trust is not a complete boot chain</x:v>
      </x:c>
      <x:c r="L100" s="5" t="str">
        <x:v>Tespro platform + HiTEKS acceptance</x:v>
      </x:c>
      <x:c r="M100" s="5" t="str">
        <x:v>Not demonstrated</x:v>
      </x:c>
      <x:c r="N100" s="5" t="str">
        <x:v>Not demonstrated</x:v>
      </x:c>
      <x:c r="O100" s="5" t="str">
        <x:v>Exact production board/image tests reject altered/unauthorized boot inputs and prove protected trust. Verify: Check authenticity of software/configuration/information and record/report results, directly or through system integration.</x:v>
      </x:c>
      <x:c r="P100" s="10" t="str"/>
      <x:c r="Q100" s="10" t="str">
        <x:v>Open</x:v>
      </x:c>
      <x:c r="R100" s="10" t="str"/>
      <x:c r="S100" s="10" t="str"/>
      <x:c r="T100" s="10" t="str"/>
      <x:c r="U100" s="5" t="str">
        <x:f>IF(Q100="Closed",IF(AND(R100&lt;&gt;"",S100&lt;&gt;""),"Closed recorded","Missing evidence/reviewer"),IF(Q100="N/A approved",IF(AND(T100&lt;&gt;"",S100&lt;&gt;""),"N/A recorded","Missing applicability approval"),"Open"))</x:f>
        <x:v>Open</x:v>
      </x:c>
      <x:c r="V100" s="5" t="str">
        <x:v>Normativa/IEC 62443-4-2-2019.pdf</x:v>
      </x:c>
      <x:c r="W100" s="5" t="str"/>
    </x:row>
    <x:row r="101" ht="36" customHeight="1">
      <x:c r="A101" s="5" t="str">
        <x:v>COMP-CR3-4-RE2-01</x:v>
      </x:c>
      <x:c r="B101" s="5" t="str">
        <x:v>CR3.4-RE2</x:v>
      </x:c>
      <x:c r="C101" s="5" t="str">
        <x:v>Integrity violation notification</x:v>
      </x:c>
      <x:c r="D101" s="5" t="str">
        <x:v>If checking integrity locally, notify a configurable entity of unauthorized change attempts</x:v>
      </x:c>
      <x:c r="E101" s="5" t="str">
        <x:v>Conditional mandatory</x:v>
      </x:c>
      <x:c r="F101" s="5" t="str">
        <x:v>Claimed SL-C for relevant FR &gt;= 3; feature conditions apply</x:v>
      </x:c>
      <x:c r="G101" s="5" t="n">
        <x:v>3</x:v>
      </x:c>
      <x:c r="H101" s="5" t="str">
        <x:v>7.6.3</x:v>
      </x:c>
      <x:c r="I101" s="5" t="str">
        <x:v>50</x:v>
      </x:c>
      <x:c r="J101" s="5" t="str">
        <x:v>48</x:v>
      </x:c>
      <x:c r="K101" s="5" t="str">
        <x:v>apps/ccli/core/event/event_store.cpp; adapters/iec61850_mms/mms_adapter.cpp; OpenWrt logging/collector configuration</x:v>
      </x:c>
      <x:c r="L101" s="5" t="str">
        <x:v>HiTEKS firmware/platform leads</x:v>
      </x:c>
      <x:c r="M101" s="5" t="str">
        <x:v>Existing implementation area; requirement acceptance open</x:v>
      </x:c>
      <x:c r="N101" s="5" t="str">
        <x:v>Not demonstrated</x:v>
      </x:c>
      <x:c r="O101" s="5" t="str">
        <x:v>Generate required events; verify fields, permissions, retention, failure response and receiver records. Verify: If checking integrity locally, notify a configurable entity of unauthorized change attempts.</x:v>
      </x:c>
      <x:c r="P101" s="10" t="str"/>
      <x:c r="Q101" s="10" t="str">
        <x:v>Open</x:v>
      </x:c>
      <x:c r="R101" s="10" t="str"/>
      <x:c r="S101" s="10" t="str"/>
      <x:c r="T101" s="10" t="str"/>
      <x:c r="U101" s="5" t="str">
        <x:f>IF(Q101="Closed",IF(AND(R101&lt;&gt;"",S101&lt;&gt;""),"Closed recorded","Missing evidence/reviewer"),IF(Q101="N/A approved",IF(AND(T101&lt;&gt;"",S101&lt;&gt;""),"N/A recorded","Missing applicability approval"),"Open"))</x:f>
        <x:v>Open</x:v>
      </x:c>
      <x:c r="V101" s="5" t="str">
        <x:v>Normativa/IEC 62443-4-2-2019.pdf</x:v>
      </x:c>
      <x:c r="W101" s="5" t="str"/>
    </x:row>
    <x:row r="102" ht="36" customHeight="1">
      <x:c r="A102" s="5" t="str">
        <x:v>COMP-CR3-9-RE1-01</x:v>
      </x:c>
      <x:c r="B102" s="5" t="str">
        <x:v>CR3.9-RE1</x:v>
      </x:c>
      <x:c r="C102" s="5" t="str">
        <x:v>Write-once audit media</x:v>
      </x:c>
      <x:c r="D102" s="5" t="str">
        <x:v>Support storage of audit records on hardware-enforced write-once media</x:v>
      </x:c>
      <x:c r="E102" s="5" t="str">
        <x:v>Conditional mandatory</x:v>
      </x:c>
      <x:c r="F102" s="5" t="str">
        <x:v>Claimed SL-C for relevant FR &gt;= 4; feature conditions apply</x:v>
      </x:c>
      <x:c r="G102" s="5" t="n">
        <x:v>4</x:v>
      </x:c>
      <x:c r="H102" s="5" t="str">
        <x:v>7.11.3</x:v>
      </x:c>
      <x:c r="I102" s="5" t="str">
        <x:v>53</x:v>
      </x:c>
      <x:c r="J102" s="5" t="str">
        <x:v>51</x:v>
      </x:c>
      <x:c r="K102" s="5" t="str">
        <x:v>apps/ccli/core/event/event_store.cpp; adapters/iec61850_mms/mms_adapter.cpp; OpenWrt logging/collector configuration</x:v>
      </x:c>
      <x:c r="L102" s="5" t="str">
        <x:v>HiTEKS firmware/platform leads</x:v>
      </x:c>
      <x:c r="M102" s="5" t="str">
        <x:v>Existing implementation area; requirement acceptance open</x:v>
      </x:c>
      <x:c r="N102" s="5" t="str">
        <x:v>Not demonstrated</x:v>
      </x:c>
      <x:c r="O102" s="5" t="str">
        <x:v>Generate required events; verify fields, permissions, retention, failure response and receiver records. Verify: Support storage of audit records on hardware-enforced write-once media.</x:v>
      </x:c>
      <x:c r="P102" s="10" t="str"/>
      <x:c r="Q102" s="10" t="str">
        <x:v>Open</x:v>
      </x:c>
      <x:c r="R102" s="10" t="str"/>
      <x:c r="S102" s="10" t="str"/>
      <x:c r="T102" s="10" t="str"/>
      <x:c r="U102" s="5" t="str">
        <x:f>IF(Q102="Closed",IF(AND(R102&lt;&gt;"",S102&lt;&gt;""),"Closed recorded","Missing evidence/reviewer"),IF(Q102="N/A approved",IF(AND(T102&lt;&gt;"",S102&lt;&gt;""),"N/A recorded","Missing applicability approval"),"Open"))</x:f>
        <x:v>Open</x:v>
      </x:c>
      <x:c r="V102" s="5" t="str">
        <x:v>Normativa/IEC 62443-4-2-2019.pdf</x:v>
      </x:c>
      <x:c r="W102" s="5" t="str"/>
    </x:row>
    <x:row r="103" ht="36" customHeight="1">
      <x:c r="A103" s="5" t="str">
        <x:v>COMP-CR4-2-RE1-01</x:v>
      </x:c>
      <x:c r="B103" s="5" t="str">
        <x:v>CR4.2-RE1</x:v>
      </x:c>
      <x:c r="C103" s="5" t="str">
        <x:v>Shared memory purge</x:v>
      </x:c>
      <x:c r="D103" s="5" t="str">
        <x:v>Prevent unintended/unauthorized disclosure through volatile shared-memory reuse</x:v>
      </x:c>
      <x:c r="E103" s="5" t="str">
        <x:v>Conditional mandatory</x:v>
      </x:c>
      <x:c r="F103" s="5" t="str">
        <x:v>Claimed SL-C for relevant FR &gt;= 3; feature conditions apply</x:v>
      </x:c>
      <x:c r="G103" s="5" t="n">
        <x:v>3</x:v>
      </x:c>
      <x:c r="H103" s="5" t="str">
        <x:v>8.4.3</x:v>
      </x:c>
      <x:c r="I103" s="5" t="str">
        <x:v>55-56</x:v>
      </x:c>
      <x:c r="J103" s="5" t="str">
        <x:v>53,54</x:v>
      </x:c>
      <x:c r="K103" s="5" t="str">
        <x:v>apps/ccli/core; apps/ccli/adapters; apps/ccli/CMakeLists.txt; apps/ccli/tests/unit; CI/code-review work required</x:v>
      </x:c>
      <x:c r="L103" s="5" t="str">
        <x:v>HiTEKS firmware lead</x:v>
      </x:c>
      <x:c r="M103" s="5" t="str">
        <x:v>Existing implementation area; requirement acceptance open</x:v>
      </x:c>
      <x:c r="N103" s="5" t="str">
        <x:v>Not demonstrated</x:v>
      </x:c>
      <x:c r="O103" s="5" t="str">
        <x:v>Review record plus reproducible automated analysis/regression results for the frozen source. Verify: Prevent unintended/unauthorized disclosure through volatile shared-memory reuse.</x:v>
      </x:c>
      <x:c r="P103" s="10" t="str"/>
      <x:c r="Q103" s="10" t="str">
        <x:v>Open</x:v>
      </x:c>
      <x:c r="R103" s="10" t="str"/>
      <x:c r="S103" s="10" t="str"/>
      <x:c r="T103" s="10" t="str"/>
      <x:c r="U103" s="5" t="str">
        <x:f>IF(Q103="Closed",IF(AND(R103&lt;&gt;"",S103&lt;&gt;""),"Closed recorded","Missing evidence/reviewer"),IF(Q103="N/A approved",IF(AND(T103&lt;&gt;"",S103&lt;&gt;""),"N/A recorded","Missing applicability approval"),"Open"))</x:f>
        <x:v>Open</x:v>
      </x:c>
      <x:c r="V103" s="5" t="str">
        <x:v>Normativa/IEC 62443-4-2-2019.pdf</x:v>
      </x:c>
      <x:c r="W103" s="5" t="str"/>
    </x:row>
    <x:row r="104" ht="36" customHeight="1">
      <x:c r="A104" s="5" t="str">
        <x:v>COMP-CR4-2-RE2-01</x:v>
      </x:c>
      <x:c r="B104" s="5" t="str">
        <x:v>CR4.2-RE2</x:v>
      </x:c>
      <x:c r="C104" s="5" t="str">
        <x:v>Erase verification</x:v>
      </x:c>
      <x:c r="D104" s="5" t="str">
        <x:v>Verify that protected-information erasure occurred</x:v>
      </x:c>
      <x:c r="E104" s="5" t="str">
        <x:v>Conditional mandatory</x:v>
      </x:c>
      <x:c r="F104" s="5" t="str">
        <x:v>Claimed SL-C for relevant FR &gt;= 3; feature conditions apply</x:v>
      </x:c>
      <x:c r="G104" s="5" t="n">
        <x:v>3</x:v>
      </x:c>
      <x:c r="H104" s="5" t="str">
        <x:v>8.4.3</x:v>
      </x:c>
      <x:c r="I104" s="5" t="str">
        <x:v>56</x:v>
      </x:c>
      <x:c r="J104" s="5" t="str">
        <x:v>54</x:v>
      </x:c>
      <x:c r="K104" s="5" t="str">
        <x:v>apps/ccli/adapters/iec61850_mms/mms_adapter.cpp; mms_rbac_security.cpp; adapters/iec60870_104/iec104_tls.cpp; core/config/ccli_config.hpp</x:v>
      </x:c>
      <x:c r="L104" s="5" t="str">
        <x:v>HiTEKS security/PKI lead</x:v>
      </x:c>
      <x:c r="M104" s="5" t="str">
        <x:v>Existing implementation area; requirement acceptance open</x:v>
      </x:c>
      <x:c r="N104" s="5" t="str">
        <x:v>Not demonstrated</x:v>
      </x:c>
      <x:c r="O104" s="5" t="str">
        <x:v>Positive and negative identity/trust/revocation tests on both claimed protocol endpoints. Verify: Verify that protected-information erasure occurred.</x:v>
      </x:c>
      <x:c r="P104" s="10" t="str"/>
      <x:c r="Q104" s="10" t="str">
        <x:v>Open</x:v>
      </x:c>
      <x:c r="R104" s="10" t="str"/>
      <x:c r="S104" s="10" t="str"/>
      <x:c r="T104" s="10" t="str"/>
      <x:c r="U104" s="5" t="str">
        <x:f>IF(Q104="Closed",IF(AND(R104&lt;&gt;"",S104&lt;&gt;""),"Closed recorded","Missing evidence/reviewer"),IF(Q104="N/A approved",IF(AND(T104&lt;&gt;"",S104&lt;&gt;""),"N/A recorded","Missing applicability approval"),"Open"))</x:f>
        <x:v>Open</x:v>
      </x:c>
      <x:c r="V104" s="5" t="str">
        <x:v>Normativa/IEC 62443-4-2-2019.pdf</x:v>
      </x:c>
      <x:c r="W104" s="5" t="str"/>
    </x:row>
    <x:row r="105" ht="36" customHeight="1">
      <x:c r="A105" s="5" t="str">
        <x:v>COMP-CR6-1-RE1-01</x:v>
      </x:c>
      <x:c r="B105" s="5" t="str">
        <x:v>CR6.1-RE1</x:v>
      </x:c>
      <x:c r="C105" s="5" t="str">
        <x:v>Programmatic audit access</x:v>
      </x:c>
      <x:c r="D105" s="5" t="str">
        <x:v>Provide API access or send audit records to a centralized system</x:v>
      </x:c>
      <x:c r="E105" s="5" t="str">
        <x:v>Conditional mandatory</x:v>
      </x:c>
      <x:c r="F105" s="5" t="str">
        <x:v>Claimed SL-C for relevant FR &gt;= 3; feature conditions apply</x:v>
      </x:c>
      <x:c r="G105" s="5" t="n">
        <x:v>3</x:v>
      </x:c>
      <x:c r="H105" s="5" t="str">
        <x:v>10.3.3</x:v>
      </x:c>
      <x:c r="I105" s="5" t="str">
        <x:v>59</x:v>
      </x:c>
      <x:c r="J105" s="5" t="str">
        <x:v>57</x:v>
      </x:c>
      <x:c r="K105" s="5" t="str">
        <x:v>apps/ccli/core/event/event_store.cpp; adapters/iec61850_mms/mms_adapter.cpp; OpenWrt logging/collector configuration</x:v>
      </x:c>
      <x:c r="L105" s="5" t="str">
        <x:v>HiTEKS firmware/platform leads</x:v>
      </x:c>
      <x:c r="M105" s="5" t="str">
        <x:v>Existing implementation area; requirement acceptance open</x:v>
      </x:c>
      <x:c r="N105" s="5" t="str">
        <x:v>Not demonstrated</x:v>
      </x:c>
      <x:c r="O105" s="5" t="str">
        <x:v>Generate required events; verify fields, permissions, retention, failure response and receiver records. Verify: Provide API access or send audit records to a centralized system.</x:v>
      </x:c>
      <x:c r="P105" s="10" t="str"/>
      <x:c r="Q105" s="10" t="str">
        <x:v>Open</x:v>
      </x:c>
      <x:c r="R105" s="10" t="str"/>
      <x:c r="S105" s="10" t="str"/>
      <x:c r="T105" s="10" t="str"/>
      <x:c r="U105" s="5" t="str">
        <x:f>IF(Q105="Closed",IF(AND(R105&lt;&gt;"",S105&lt;&gt;""),"Closed recorded","Missing evidence/reviewer"),IF(Q105="N/A approved",IF(AND(T105&lt;&gt;"",S105&lt;&gt;""),"N/A recorded","Missing applicability approval"),"Open"))</x:f>
        <x:v>Open</x:v>
      </x:c>
      <x:c r="V105" s="5" t="str">
        <x:v>Normativa/IEC 62443-4-2-2019.pdf</x:v>
      </x:c>
      <x:c r="W105" s="5" t="str"/>
    </x:row>
    <x:row r="106" ht="36" customHeight="1">
      <x:c r="A106" s="5" t="str">
        <x:v>COMP-CR7-1-RE1-01</x:v>
      </x:c>
      <x:c r="B106" s="5" t="str">
        <x:v>CR7.1-RE1</x:v>
      </x:c>
      <x:c r="C106" s="5" t="str">
        <x:v>Communication flood mitigation</x:v>
      </x:c>
      <x:c r="D106" s="5" t="str">
        <x:v>Mitigate information/message-flood DoS effects</x:v>
      </x:c>
      <x:c r="E106" s="5" t="str">
        <x:v>Conditional mandatory</x:v>
      </x:c>
      <x:c r="F106" s="5" t="str">
        <x:v>Claimed SL-C for relevant FR &gt;= 2; feature conditions apply</x:v>
      </x:c>
      <x:c r="G106" s="5" t="n">
        <x:v>2</x:v>
      </x:c>
      <x:c r="H106" s="5" t="str">
        <x:v>11.3.3</x:v>
      </x:c>
      <x:c r="I106" s="5" t="str">
        <x:v>61</x:v>
      </x:c>
      <x:c r="J106" s="5" t="str">
        <x:v>59</x:v>
      </x:c>
      <x:c r="K106" s="5" t="str">
        <x:v>apps/ccli/core/pf2; core/service/service_supervision.cpp; services/svc_io.c; package/ccli/files/ccli.init; OS resource/backup policy</x:v>
      </x:c>
      <x:c r="L106" s="5" t="str">
        <x:v>HiTEKS firmware + Tespro platform</x:v>
      </x:c>
      <x:c r="M106" s="5" t="str">
        <x:v>Existing implementation area; requirement acceptance open</x:v>
      </x:c>
      <x:c r="N106" s="5" t="str">
        <x:v>Not demonstrated</x:v>
      </x:c>
      <x:c r="O106" s="5" t="str">
        <x:v>Fault/flood/power-loss tests preserve defined essential functions and demonstrate secure recovery. Verify: Mitigate information/message-flood DoS effects.</x:v>
      </x:c>
      <x:c r="P106" s="10" t="str"/>
      <x:c r="Q106" s="10" t="str">
        <x:v>Open</x:v>
      </x:c>
      <x:c r="R106" s="10" t="str"/>
      <x:c r="S106" s="10" t="str"/>
      <x:c r="T106" s="10" t="str"/>
      <x:c r="U106" s="5" t="str">
        <x:f>IF(Q106="Closed",IF(AND(R106&lt;&gt;"",S106&lt;&gt;""),"Closed recorded","Missing evidence/reviewer"),IF(Q106="N/A approved",IF(AND(T106&lt;&gt;"",S106&lt;&gt;""),"N/A recorded","Missing applicability approval"),"Open"))</x:f>
        <x:v>Open</x:v>
      </x:c>
      <x:c r="V106" s="5" t="str">
        <x:v>Normativa/IEC 62443-4-2-2019.pdf</x:v>
      </x:c>
      <x:c r="W106" s="5" t="str"/>
    </x:row>
    <x:row r="107" ht="36" customHeight="1">
      <x:c r="A107" s="5" t="str">
        <x:v>COMP-CR7-3-RE1-01</x:v>
      </x:c>
      <x:c r="B107" s="5" t="str">
        <x:v>CR7.3-RE1</x:v>
      </x:c>
      <x:c r="C107" s="5" t="str">
        <x:v>Backup integrity</x:v>
      </x:c>
      <x:c r="D107" s="5" t="str">
        <x:v>Validate backup integrity before restoring</x:v>
      </x:c>
      <x:c r="E107" s="5" t="str">
        <x:v>Conditional mandatory</x:v>
      </x:c>
      <x:c r="F107" s="5" t="str">
        <x:v>Claimed SL-C for relevant FR &gt;= 2; feature conditions apply</x:v>
      </x:c>
      <x:c r="G107" s="5" t="n">
        <x:v>2</x:v>
      </x:c>
      <x:c r="H107" s="5" t="str">
        <x:v>11.5.3</x:v>
      </x:c>
      <x:c r="I107" s="5" t="str">
        <x:v>62</x:v>
      </x:c>
      <x:c r="J107" s="5" t="str">
        <x:v>60</x:v>
      </x:c>
      <x:c r="K107" s="5" t="str">
        <x:v>apps/ccli/core/pf2; core/service/service_supervision.cpp; services/svc_io.c; package/ccli/files/ccli.init; OS resource/backup policy</x:v>
      </x:c>
      <x:c r="L107" s="5" t="str">
        <x:v>HiTEKS firmware + Tespro platform</x:v>
      </x:c>
      <x:c r="M107" s="5" t="str">
        <x:v>Existing implementation area; requirement acceptance open</x:v>
      </x:c>
      <x:c r="N107" s="5" t="str">
        <x:v>Not demonstrated</x:v>
      </x:c>
      <x:c r="O107" s="5" t="str">
        <x:v>Fault/flood/power-loss tests preserve defined essential functions and demonstrate secure recovery. Verify: Validate backup integrity before restoring.</x:v>
      </x:c>
      <x:c r="P107" s="10" t="str"/>
      <x:c r="Q107" s="10" t="str">
        <x:v>Open</x:v>
      </x:c>
      <x:c r="R107" s="10" t="str"/>
      <x:c r="S107" s="10" t="str"/>
      <x:c r="T107" s="10" t="str"/>
      <x:c r="U107" s="5" t="str">
        <x:f>IF(Q107="Closed",IF(AND(R107&lt;&gt;"",S107&lt;&gt;""),"Closed recorded","Missing evidence/reviewer"),IF(Q107="N/A approved",IF(AND(T107&lt;&gt;"",S107&lt;&gt;""),"N/A recorded","Missing applicability approval"),"Open"))</x:f>
        <x:v>Open</x:v>
      </x:c>
      <x:c r="V107" s="5" t="str">
        <x:v>Normativa/IEC 62443-4-2-2019.pdf</x:v>
      </x:c>
      <x:c r="W107" s="5" t="str"/>
    </x:row>
    <x:row r="108" ht="36" customHeight="1">
      <x:c r="A108" s="5" t="str">
        <x:v>COMP-CR7-6-RE1-01</x:v>
      </x:c>
      <x:c r="B108" s="5" t="str">
        <x:v>CR7.6-RE1</x:v>
      </x:c>
      <x:c r="C108" s="5" t="str">
        <x:v>Machine-readable security settings</x:v>
      </x:c>
      <x:c r="D108" s="5" t="str">
        <x:v>Generate a machine-readable report of deployed security settings</x:v>
      </x:c>
      <x:c r="E108" s="5" t="str">
        <x:v>Conditional mandatory</x:v>
      </x:c>
      <x:c r="F108" s="5" t="str">
        <x:v>Claimed SL-C for relevant FR &gt;= 3; feature conditions apply</x:v>
      </x:c>
      <x:c r="G108" s="5" t="n">
        <x:v>3</x:v>
      </x:c>
      <x:c r="H108" s="5" t="str">
        <x:v>11.8.3</x:v>
      </x:c>
      <x:c r="I108" s="5" t="str">
        <x:v>63</x:v>
      </x:c>
      <x:c r="J108" s="5" t="str">
        <x:v>61</x:v>
      </x:c>
      <x:c r="K108" s="5" t="str">
        <x:v>Architecture/CCI_Runtime_Dataflow_Architecture.md; Architecture/Software_Architecture.md; knowledge-base/08-engineering/CCI_62443_Zones.md</x:v>
      </x:c>
      <x:c r="L108" s="5" t="str">
        <x:v>HiTEKS architect</x:v>
      </x:c>
      <x:c r="M108" s="5" t="str">
        <x:v>Not demonstrated</x:v>
      </x:c>
      <x:c r="N108" s="5" t="str">
        <x:v>Not demonstrated</x:v>
      </x:c>
      <x:c r="O108" s="5" t="str">
        <x:v>Approved design/traceability review; exercise the relevant trust boundary and record residual risks. Verify: Generate a machine-readable report of deployed security settings.</x:v>
      </x:c>
      <x:c r="P108" s="10" t="str"/>
      <x:c r="Q108" s="10" t="str">
        <x:v>Open</x:v>
      </x:c>
      <x:c r="R108" s="10" t="str"/>
      <x:c r="S108" s="10" t="str"/>
      <x:c r="T108" s="10" t="str"/>
      <x:c r="U108" s="5" t="str">
        <x:f>IF(Q108="Closed",IF(AND(R108&lt;&gt;"",S108&lt;&gt;""),"Closed recorded","Missing evidence/reviewer"),IF(Q108="N/A approved",IF(AND(T108&lt;&gt;"",S108&lt;&gt;""),"N/A recorded","Missing applicability approval"),"Open"))</x:f>
        <x:v>Open</x:v>
      </x:c>
      <x:c r="V108" s="5" t="str">
        <x:v>Normativa/IEC 62443-4-2-2019.pdf</x:v>
      </x:c>
      <x:c r="W108" s="5" t="str"/>
    </x:row>
    <x:row r="109" ht="36" customHeight="1">
      <x:c r="A109" s="5" t="str">
        <x:v>COMP-SAR2-4-01</x:v>
      </x:c>
      <x:c r="B109" s="5" t="str">
        <x:v>SAR2.4</x:v>
      </x:c>
      <x:c r="C109" s="5" t="str">
        <x:v>Mobile code</x:v>
      </x:c>
      <x:c r="D109" s="5" t="str">
        <x:v>If mobile code is used, control its execution</x:v>
      </x:c>
      <x:c r="E109" s="5" t="str">
        <x:v>Conditional mandatory</x:v>
      </x:c>
      <x:c r="F109" s="5" t="str">
        <x:v>Component classified as SAR; relevant FR SL-C &gt;= 1; feature conditions apply</x:v>
      </x:c>
      <x:c r="G109" s="5" t="n">
        <x:v>1</x:v>
      </x:c>
      <x:c r="H109" s="5" t="str">
        <x:v>12.2.1</x:v>
      </x:c>
      <x:c r="I109" s="5" t="str">
        <x:v>64-65</x:v>
      </x:c>
      <x:c r="J109" s="5" t="str">
        <x:v>62,63</x:v>
      </x:c>
      <x:c r="K109" s="5" t="str">
        <x:v>apps/ccli/core; apps/ccli/adapters; apps/ccli/CMakeLists.txt; apps/ccli/tests/unit; CI/code-review work required</x:v>
      </x:c>
      <x:c r="L109" s="5" t="str">
        <x:v>HiTEKS firmware lead</x:v>
      </x:c>
      <x:c r="M109" s="5" t="str">
        <x:v>Existing implementation area; requirement acceptance open</x:v>
      </x:c>
      <x:c r="N109" s="5" t="str">
        <x:v>Not demonstrated</x:v>
      </x:c>
      <x:c r="O109" s="5" t="str">
        <x:v>Review record plus reproducible automated analysis/regression results for the frozen source. Verify: If mobile code is used, control its execution.</x:v>
      </x:c>
      <x:c r="P109" s="10" t="str"/>
      <x:c r="Q109" s="10" t="str">
        <x:v>Open</x:v>
      </x:c>
      <x:c r="R109" s="10" t="str"/>
      <x:c r="S109" s="10" t="str"/>
      <x:c r="T109" s="10" t="str"/>
      <x:c r="U109" s="5" t="str">
        <x:f>IF(Q109="Closed",IF(AND(R109&lt;&gt;"",S109&lt;&gt;""),"Closed recorded","Missing evidence/reviewer"),IF(Q109="N/A approved",IF(AND(T109&lt;&gt;"",S109&lt;&gt;""),"N/A recorded","Missing applicability approval"),"Open"))</x:f>
        <x:v>Open</x:v>
      </x:c>
      <x:c r="V109" s="5" t="str">
        <x:v>Normativa/IEC 62443-4-2-2019.pdf</x:v>
      </x:c>
      <x:c r="W109" s="5" t="str">
        <x:v>SAR application and EDR finished-controller scopes are candidates. NDR requires network-device/boundary scope decision. HDR is a separate classification decision, not implied by USB/console presence.</x:v>
      </x:c>
    </x:row>
    <x:row r="110" ht="36" customHeight="1">
      <x:c r="A110" s="5" t="str">
        <x:v>COMP-SAR2-4-02</x:v>
      </x:c>
      <x:c r="B110" s="5" t="str">
        <x:v>SAR2.4</x:v>
      </x:c>
      <x:c r="C110" s="5" t="str">
        <x:v>Mobile code</x:v>
      </x:c>
      <x:c r="D110" s="5" t="str">
        <x:v>Control users allowed to transfer/upload it</x:v>
      </x:c>
      <x:c r="E110" s="5" t="str">
        <x:v>Conditional mandatory</x:v>
      </x:c>
      <x:c r="F110" s="5" t="str">
        <x:v>Component classified as SAR; relevant FR SL-C &gt;= 1; feature conditions apply</x:v>
      </x:c>
      <x:c r="G110" s="5" t="n">
        <x:v>1</x:v>
      </x:c>
      <x:c r="H110" s="5" t="str">
        <x:v>12.2.1</x:v>
      </x:c>
      <x:c r="I110" s="5" t="str">
        <x:v>64-65</x:v>
      </x:c>
      <x:c r="J110" s="5" t="str">
        <x:v>62,63</x:v>
      </x:c>
      <x:c r="K110" s="5" t="str">
        <x:v>apps/ccli/core; apps/ccli/adapters; apps/ccli/CMakeLists.txt; apps/ccli/tests/unit; CI/code-review work required</x:v>
      </x:c>
      <x:c r="L110" s="5" t="str">
        <x:v>HiTEKS firmware lead</x:v>
      </x:c>
      <x:c r="M110" s="5" t="str">
        <x:v>Existing implementation area; requirement acceptance open</x:v>
      </x:c>
      <x:c r="N110" s="5" t="str">
        <x:v>Not demonstrated</x:v>
      </x:c>
      <x:c r="O110" s="5" t="str">
        <x:v>Review record plus reproducible automated analysis/regression results for the frozen source. Verify: Control users allowed to transfer/upload it.</x:v>
      </x:c>
      <x:c r="P110" s="10" t="str"/>
      <x:c r="Q110" s="10" t="str">
        <x:v>Open</x:v>
      </x:c>
      <x:c r="R110" s="10" t="str"/>
      <x:c r="S110" s="10" t="str"/>
      <x:c r="T110" s="10" t="str"/>
      <x:c r="U110" s="5" t="str">
        <x:f>IF(Q110="Closed",IF(AND(R110&lt;&gt;"",S110&lt;&gt;""),"Closed recorded","Missing evidence/reviewer"),IF(Q110="N/A approved",IF(AND(T110&lt;&gt;"",S110&lt;&gt;""),"N/A recorded","Missing applicability approval"),"Open"))</x:f>
        <x:v>Open</x:v>
      </x:c>
      <x:c r="V110" s="5" t="str">
        <x:v>Normativa/IEC 62443-4-2-2019.pdf</x:v>
      </x:c>
      <x:c r="W110" s="5" t="str">
        <x:v>SAR application and EDR finished-controller scopes are candidates. NDR requires network-device/boundary scope decision. HDR is a separate classification decision, not implied by USB/console presence.</x:v>
      </x:c>
    </x:row>
    <x:row r="111" ht="36" customHeight="1">
      <x:c r="A111" s="5" t="str">
        <x:v>COMP-SAR2-4-03</x:v>
      </x:c>
      <x:c r="B111" s="5" t="str">
        <x:v>SAR2.4</x:v>
      </x:c>
      <x:c r="C111" s="5" t="str">
        <x:v>Mobile code</x:v>
      </x:c>
      <x:c r="D111" s="5" t="str">
        <x:v>Verify integrity before executing it</x:v>
      </x:c>
      <x:c r="E111" s="5" t="str">
        <x:v>Conditional mandatory</x:v>
      </x:c>
      <x:c r="F111" s="5" t="str">
        <x:v>Component classified as SAR; relevant FR SL-C &gt;= 1; feature conditions apply</x:v>
      </x:c>
      <x:c r="G111" s="5" t="n">
        <x:v>1</x:v>
      </x:c>
      <x:c r="H111" s="5" t="str">
        <x:v>12.2.1</x:v>
      </x:c>
      <x:c r="I111" s="5" t="str">
        <x:v>64-65</x:v>
      </x:c>
      <x:c r="J111" s="5" t="str">
        <x:v>62,63</x:v>
      </x:c>
      <x:c r="K111" s="5" t="str">
        <x:v>apps/ccli/core; apps/ccli/adapters; apps/ccli/CMakeLists.txt; apps/ccli/tests/unit; CI/code-review work required</x:v>
      </x:c>
      <x:c r="L111" s="5" t="str">
        <x:v>HiTEKS firmware lead</x:v>
      </x:c>
      <x:c r="M111" s="5" t="str">
        <x:v>Existing implementation area; requirement acceptance open</x:v>
      </x:c>
      <x:c r="N111" s="5" t="str">
        <x:v>Not demonstrated</x:v>
      </x:c>
      <x:c r="O111" s="5" t="str">
        <x:v>Review record plus reproducible automated analysis/regression results for the frozen source. Verify: Verify integrity before executing it.</x:v>
      </x:c>
      <x:c r="P111" s="10" t="str"/>
      <x:c r="Q111" s="10" t="str">
        <x:v>Open</x:v>
      </x:c>
      <x:c r="R111" s="10" t="str"/>
      <x:c r="S111" s="10" t="str"/>
      <x:c r="T111" s="10" t="str"/>
      <x:c r="U111" s="5" t="str">
        <x:f>IF(Q111="Closed",IF(AND(R111&lt;&gt;"",S111&lt;&gt;""),"Closed recorded","Missing evidence/reviewer"),IF(Q111="N/A approved",IF(AND(T111&lt;&gt;"",S111&lt;&gt;""),"N/A recorded","Missing applicability approval"),"Open"))</x:f>
        <x:v>Open</x:v>
      </x:c>
      <x:c r="V111" s="5" t="str">
        <x:v>Normativa/IEC 62443-4-2-2019.pdf</x:v>
      </x:c>
      <x:c r="W111" s="5" t="str">
        <x:v>SAR application and EDR finished-controller scopes are candidates. NDR requires network-device/boundary scope decision. HDR is a separate classification decision, not implied by USB/console presence.</x:v>
      </x:c>
    </x:row>
    <x:row r="112" ht="36" customHeight="1">
      <x:c r="A112" s="5" t="str">
        <x:v>COMP-SAR2-4-RE1-01</x:v>
      </x:c>
      <x:c r="B112" s="5" t="str">
        <x:v>SAR2.4-RE1</x:v>
      </x:c>
      <x:c r="C112" s="5" t="str">
        <x:v>Mobile-code authenticity</x:v>
      </x:c>
      <x:c r="D112" s="5" t="str">
        <x:v>Enforce mobile-code authenticity verification before execution</x:v>
      </x:c>
      <x:c r="E112" s="5" t="str">
        <x:v>Conditional mandatory</x:v>
      </x:c>
      <x:c r="F112" s="5" t="str">
        <x:v>SAR component; relevant FR SL-C &gt;= 2; feature conditions apply</x:v>
      </x:c>
      <x:c r="G112" s="5" t="n">
        <x:v>2</x:v>
      </x:c>
      <x:c r="H112" s="5" t="str">
        <x:v>12.2.3</x:v>
      </x:c>
      <x:c r="I112" s="5" t="str">
        <x:v>64-65</x:v>
      </x:c>
      <x:c r="J112" s="5" t="str">
        <x:v>62,63</x:v>
      </x:c>
      <x:c r="K112" s="5" t="str">
        <x:v>apps/ccli/core; apps/ccli/adapters; apps/ccli/CMakeLists.txt; apps/ccli/tests/unit; CI/code-review work required</x:v>
      </x:c>
      <x:c r="L112" s="5" t="str">
        <x:v>HiTEKS firmware lead</x:v>
      </x:c>
      <x:c r="M112" s="5" t="str">
        <x:v>Existing implementation area; requirement acceptance open</x:v>
      </x:c>
      <x:c r="N112" s="5" t="str">
        <x:v>Not demonstrated</x:v>
      </x:c>
      <x:c r="O112" s="5" t="str">
        <x:v>Review record plus reproducible automated analysis/regression results for the frozen source. Verify: Enforce mobile-code authenticity verification before execution.</x:v>
      </x:c>
      <x:c r="P112" s="10" t="str"/>
      <x:c r="Q112" s="10" t="str">
        <x:v>Open</x:v>
      </x:c>
      <x:c r="R112" s="10" t="str"/>
      <x:c r="S112" s="10" t="str"/>
      <x:c r="T112" s="10" t="str"/>
      <x:c r="U112" s="5" t="str">
        <x:f>IF(Q112="Closed",IF(AND(R112&lt;&gt;"",S112&lt;&gt;""),"Closed recorded","Missing evidence/reviewer"),IF(Q112="N/A approved",IF(AND(T112&lt;&gt;"",S112&lt;&gt;""),"N/A recorded","Missing applicability approval"),"Open"))</x:f>
        <x:v>Open</x:v>
      </x:c>
      <x:c r="V112" s="5" t="str">
        <x:v>Normativa/IEC 62443-4-2-2019.pdf</x:v>
      </x:c>
      <x:c r="W112" s="5" t="str"/>
    </x:row>
    <x:row r="113" ht="36" customHeight="1">
      <x:c r="A113" s="5" t="str">
        <x:v>COMP-SAR3-2-01</x:v>
      </x:c>
      <x:c r="B113" s="5" t="str">
        <x:v>SAR3.2</x:v>
      </x:c>
      <x:c r="C113" s="5" t="str">
        <x:v>Malicious-code compatibility</x:v>
      </x:c>
      <x:c r="D113" s="5" t="str">
        <x:v>Qualify and document at least one compatible malicious-code protection mechanism</x:v>
      </x:c>
      <x:c r="E113" s="5" t="str">
        <x:v>Conditional mandatory</x:v>
      </x:c>
      <x:c r="F113" s="5" t="str">
        <x:v>Component classified as SAR; relevant FR SL-C &gt;= 1; feature conditions apply</x:v>
      </x:c>
      <x:c r="G113" s="5" t="n">
        <x:v>1</x:v>
      </x:c>
      <x:c r="H113" s="5" t="str">
        <x:v>12.3.1</x:v>
      </x:c>
      <x:c r="I113" s="5" t="str">
        <x:v>65-66</x:v>
      </x:c>
      <x:c r="J113" s="5" t="str">
        <x:v>63,64</x:v>
      </x:c>
      <x:c r="K113" s="5" t="str">
        <x:v>apps/ccli/core; apps/ccli/adapters; apps/ccli/CMakeLists.txt; apps/ccli/tests/unit; CI/code-review work required</x:v>
      </x:c>
      <x:c r="L113" s="5" t="str">
        <x:v>HiTEKS firmware lead</x:v>
      </x:c>
      <x:c r="M113" s="5" t="str">
        <x:v>Existing implementation area; requirement acceptance open</x:v>
      </x:c>
      <x:c r="N113" s="5" t="str">
        <x:v>Not demonstrated</x:v>
      </x:c>
      <x:c r="O113" s="5" t="str">
        <x:v>Review record plus reproducible automated analysis/regression results for the frozen source. Verify: Qualify and document at least one compatible malicious-code protection mechanism.</x:v>
      </x:c>
      <x:c r="P113" s="10" t="str"/>
      <x:c r="Q113" s="10" t="str">
        <x:v>Open</x:v>
      </x:c>
      <x:c r="R113" s="10" t="str"/>
      <x:c r="S113" s="10" t="str"/>
      <x:c r="T113" s="10" t="str"/>
      <x:c r="U113" s="5" t="str">
        <x:f>IF(Q113="Closed",IF(AND(R113&lt;&gt;"",S113&lt;&gt;""),"Closed recorded","Missing evidence/reviewer"),IF(Q113="N/A approved",IF(AND(T113&lt;&gt;"",S113&lt;&gt;""),"N/A recorded","Missing applicability approval"),"Open"))</x:f>
        <x:v>Open</x:v>
      </x:c>
      <x:c r="V113" s="5" t="str">
        <x:v>Normativa/IEC 62443-4-2-2019.pdf</x:v>
      </x:c>
      <x:c r="W113" s="5" t="str">
        <x:v>SAR application and EDR finished-controller scopes are candidates. NDR requires network-device/boundary scope decision. HDR is a separate classification decision, not implied by USB/console presence.</x:v>
      </x:c>
    </x:row>
    <x:row r="114" ht="36" customHeight="1">
      <x:c r="A114" s="5" t="str">
        <x:v>COMP-SAR3-2-02</x:v>
      </x:c>
      <x:c r="B114" s="5" t="str">
        <x:v>SAR3.2</x:v>
      </x:c>
      <x:c r="C114" s="5" t="str">
        <x:v>Malicious-code compatibility</x:v>
      </x:c>
      <x:c r="D114" s="5" t="str">
        <x:v>Document special protection configuration</x:v>
      </x:c>
      <x:c r="E114" s="5" t="str">
        <x:v>Conditional mandatory</x:v>
      </x:c>
      <x:c r="F114" s="5" t="str">
        <x:v>Component classified as SAR; relevant FR SL-C &gt;= 1; feature conditions apply</x:v>
      </x:c>
      <x:c r="G114" s="5" t="n">
        <x:v>1</x:v>
      </x:c>
      <x:c r="H114" s="5" t="str">
        <x:v>12.3.1</x:v>
      </x:c>
      <x:c r="I114" s="5" t="str">
        <x:v>65-66</x:v>
      </x:c>
      <x:c r="J114" s="5" t="str">
        <x:v>63,64</x:v>
      </x:c>
      <x:c r="K114" s="5" t="str">
        <x:v>apps/ccli/core; apps/ccli/adapters; apps/ccli/CMakeLists.txt; apps/ccli/tests/unit; CI/code-review work required</x:v>
      </x:c>
      <x:c r="L114" s="5" t="str">
        <x:v>HiTEKS firmware lead</x:v>
      </x:c>
      <x:c r="M114" s="5" t="str">
        <x:v>Existing implementation area; requirement acceptance open</x:v>
      </x:c>
      <x:c r="N114" s="5" t="str">
        <x:v>Not demonstrated</x:v>
      </x:c>
      <x:c r="O114" s="5" t="str">
        <x:v>Review record plus reproducible automated analysis/regression results for the frozen source. Verify: Document special protection configuration.</x:v>
      </x:c>
      <x:c r="P114" s="10" t="str"/>
      <x:c r="Q114" s="10" t="str">
        <x:v>Open</x:v>
      </x:c>
      <x:c r="R114" s="10" t="str"/>
      <x:c r="S114" s="10" t="str"/>
      <x:c r="T114" s="10" t="str"/>
      <x:c r="U114" s="5" t="str">
        <x:f>IF(Q114="Closed",IF(AND(R114&lt;&gt;"",S114&lt;&gt;""),"Closed recorded","Missing evidence/reviewer"),IF(Q114="N/A approved",IF(AND(T114&lt;&gt;"",S114&lt;&gt;""),"N/A recorded","Missing applicability approval"),"Open"))</x:f>
        <x:v>Open</x:v>
      </x:c>
      <x:c r="V114" s="5" t="str">
        <x:v>Normativa/IEC 62443-4-2-2019.pdf</x:v>
      </x:c>
      <x:c r="W114" s="5" t="str">
        <x:v>SAR application and EDR finished-controller scopes are candidates. NDR requires network-device/boundary scope decision. HDR is a separate classification decision, not implied by USB/console presence.</x:v>
      </x:c>
    </x:row>
    <x:row r="115" ht="36" customHeight="1">
      <x:c r="A115" s="5" t="str">
        <x:v>COMP-EDR2-4-01</x:v>
      </x:c>
      <x:c r="B115" s="5" t="str">
        <x:v>EDR2.4</x:v>
      </x:c>
      <x:c r="C115" s="5" t="str">
        <x:v>Mobile code</x:v>
      </x:c>
      <x:c r="D115" s="5" t="str">
        <x:v>If mobile code is used, control its execution</x:v>
      </x:c>
      <x:c r="E115" s="5" t="str">
        <x:v>Conditional mandatory</x:v>
      </x:c>
      <x:c r="F115" s="5" t="str">
        <x:v>Component classified as EDR; relevant FR SL-C &gt;= 1; feature conditions apply</x:v>
      </x:c>
      <x:c r="G115" s="5" t="n">
        <x:v>1</x:v>
      </x:c>
      <x:c r="H115" s="5" t="str">
        <x:v>13.2.1</x:v>
      </x:c>
      <x:c r="I115" s="5" t="str">
        <x:v>66</x:v>
      </x:c>
      <x:c r="J115" s="5" t="str">
        <x:v>64</x:v>
      </x:c>
      <x:c r="K115" s="5" t="str">
        <x:v>apps/ccli/core; apps/ccli/adapters; apps/ccli/CMakeLists.txt; apps/ccli/tests/unit; CI/code-review work required</x:v>
      </x:c>
      <x:c r="L115" s="5" t="str">
        <x:v>HiTEKS firmware lead</x:v>
      </x:c>
      <x:c r="M115" s="5" t="str">
        <x:v>Existing implementation area; requirement acceptance open</x:v>
      </x:c>
      <x:c r="N115" s="5" t="str">
        <x:v>Not demonstrated</x:v>
      </x:c>
      <x:c r="O115" s="5" t="str">
        <x:v>Review record plus reproducible automated analysis/regression results for the frozen source. Verify: If mobile code is used, control its execution.</x:v>
      </x:c>
      <x:c r="P115" s="10" t="str"/>
      <x:c r="Q115" s="10" t="str">
        <x:v>Open</x:v>
      </x:c>
      <x:c r="R115" s="10" t="str"/>
      <x:c r="S115" s="10" t="str"/>
      <x:c r="T115" s="10" t="str"/>
      <x:c r="U115" s="5" t="str">
        <x:f>IF(Q115="Closed",IF(AND(R115&lt;&gt;"",S115&lt;&gt;""),"Closed recorded","Missing evidence/reviewer"),IF(Q115="N/A approved",IF(AND(T115&lt;&gt;"",S115&lt;&gt;""),"N/A recorded","Missing applicability approval"),"Open"))</x:f>
        <x:v>Open</x:v>
      </x:c>
      <x:c r="V115" s="5" t="str">
        <x:v>Normativa/IEC 62443-4-2-2019.pdf</x:v>
      </x:c>
      <x:c r="W115" s="5" t="str">
        <x:v>SAR application and EDR finished-controller scopes are candidates. NDR requires network-device/boundary scope decision. HDR is a separate classification decision, not implied by USB/console presence.</x:v>
      </x:c>
    </x:row>
    <x:row r="116" ht="36" customHeight="1">
      <x:c r="A116" s="5" t="str">
        <x:v>COMP-EDR2-4-02</x:v>
      </x:c>
      <x:c r="B116" s="5" t="str">
        <x:v>EDR2.4</x:v>
      </x:c>
      <x:c r="C116" s="5" t="str">
        <x:v>Mobile code</x:v>
      </x:c>
      <x:c r="D116" s="5" t="str">
        <x:v>Control users allowed to transfer/upload it</x:v>
      </x:c>
      <x:c r="E116" s="5" t="str">
        <x:v>Conditional mandatory</x:v>
      </x:c>
      <x:c r="F116" s="5" t="str">
        <x:v>Component classified as EDR; relevant FR SL-C &gt;= 1; feature conditions apply</x:v>
      </x:c>
      <x:c r="G116" s="5" t="n">
        <x:v>1</x:v>
      </x:c>
      <x:c r="H116" s="5" t="str">
        <x:v>13.2.1</x:v>
      </x:c>
      <x:c r="I116" s="5" t="str">
        <x:v>66</x:v>
      </x:c>
      <x:c r="J116" s="5" t="str">
        <x:v>64</x:v>
      </x:c>
      <x:c r="K116" s="5" t="str">
        <x:v>apps/ccli/core; apps/ccli/adapters; apps/ccli/CMakeLists.txt; apps/ccli/tests/unit; CI/code-review work required</x:v>
      </x:c>
      <x:c r="L116" s="5" t="str">
        <x:v>HiTEKS firmware lead</x:v>
      </x:c>
      <x:c r="M116" s="5" t="str">
        <x:v>Existing implementation area; requirement acceptance open</x:v>
      </x:c>
      <x:c r="N116" s="5" t="str">
        <x:v>Not demonstrated</x:v>
      </x:c>
      <x:c r="O116" s="5" t="str">
        <x:v>Review record plus reproducible automated analysis/regression results for the frozen source. Verify: Control users allowed to transfer/upload it.</x:v>
      </x:c>
      <x:c r="P116" s="10" t="str"/>
      <x:c r="Q116" s="10" t="str">
        <x:v>Open</x:v>
      </x:c>
      <x:c r="R116" s="10" t="str"/>
      <x:c r="S116" s="10" t="str"/>
      <x:c r="T116" s="10" t="str"/>
      <x:c r="U116" s="5" t="str">
        <x:f>IF(Q116="Closed",IF(AND(R116&lt;&gt;"",S116&lt;&gt;""),"Closed recorded","Missing evidence/reviewer"),IF(Q116="N/A approved",IF(AND(T116&lt;&gt;"",S116&lt;&gt;""),"N/A recorded","Missing applicability approval"),"Open"))</x:f>
        <x:v>Open</x:v>
      </x:c>
      <x:c r="V116" s="5" t="str">
        <x:v>Normativa/IEC 62443-4-2-2019.pdf</x:v>
      </x:c>
      <x:c r="W116" s="5" t="str">
        <x:v>SAR application and EDR finished-controller scopes are candidates. NDR requires network-device/boundary scope decision. HDR is a separate classification decision, not implied by USB/console presence.</x:v>
      </x:c>
    </x:row>
    <x:row r="117" ht="36" customHeight="1">
      <x:c r="A117" s="5" t="str">
        <x:v>COMP-EDR2-4-03</x:v>
      </x:c>
      <x:c r="B117" s="5" t="str">
        <x:v>EDR2.4</x:v>
      </x:c>
      <x:c r="C117" s="5" t="str">
        <x:v>Mobile code</x:v>
      </x:c>
      <x:c r="D117" s="5" t="str">
        <x:v>Verify integrity before executing it</x:v>
      </x:c>
      <x:c r="E117" s="5" t="str">
        <x:v>Conditional mandatory</x:v>
      </x:c>
      <x:c r="F117" s="5" t="str">
        <x:v>Component classified as EDR; relevant FR SL-C &gt;= 1; feature conditions apply</x:v>
      </x:c>
      <x:c r="G117" s="5" t="n">
        <x:v>1</x:v>
      </x:c>
      <x:c r="H117" s="5" t="str">
        <x:v>13.2.1</x:v>
      </x:c>
      <x:c r="I117" s="5" t="str">
        <x:v>66</x:v>
      </x:c>
      <x:c r="J117" s="5" t="str">
        <x:v>64</x:v>
      </x:c>
      <x:c r="K117" s="5" t="str">
        <x:v>apps/ccli/core; apps/ccli/adapters; apps/ccli/CMakeLists.txt; apps/ccli/tests/unit; CI/code-review work required</x:v>
      </x:c>
      <x:c r="L117" s="5" t="str">
        <x:v>HiTEKS firmware lead</x:v>
      </x:c>
      <x:c r="M117" s="5" t="str">
        <x:v>Existing implementation area; requirement acceptance open</x:v>
      </x:c>
      <x:c r="N117" s="5" t="str">
        <x:v>Not demonstrated</x:v>
      </x:c>
      <x:c r="O117" s="5" t="str">
        <x:v>Review record plus reproducible automated analysis/regression results for the frozen source. Verify: Verify integrity before executing it.</x:v>
      </x:c>
      <x:c r="P117" s="10" t="str"/>
      <x:c r="Q117" s="10" t="str">
        <x:v>Open</x:v>
      </x:c>
      <x:c r="R117" s="10" t="str"/>
      <x:c r="S117" s="10" t="str"/>
      <x:c r="T117" s="10" t="str"/>
      <x:c r="U117" s="5" t="str">
        <x:f>IF(Q117="Closed",IF(AND(R117&lt;&gt;"",S117&lt;&gt;""),"Closed recorded","Missing evidence/reviewer"),IF(Q117="N/A approved",IF(AND(T117&lt;&gt;"",S117&lt;&gt;""),"N/A recorded","Missing applicability approval"),"Open"))</x:f>
        <x:v>Open</x:v>
      </x:c>
      <x:c r="V117" s="5" t="str">
        <x:v>Normativa/IEC 62443-4-2-2019.pdf</x:v>
      </x:c>
      <x:c r="W117" s="5" t="str">
        <x:v>SAR application and EDR finished-controller scopes are candidates. NDR requires network-device/boundary scope decision. HDR is a separate classification decision, not implied by USB/console presence.</x:v>
      </x:c>
    </x:row>
    <x:row r="118" ht="36" customHeight="1">
      <x:c r="A118" s="5" t="str">
        <x:v>COMP-EDR2-4-RE1-01</x:v>
      </x:c>
      <x:c r="B118" s="5" t="str">
        <x:v>EDR2.4-RE1</x:v>
      </x:c>
      <x:c r="C118" s="5" t="str">
        <x:v>Mobile-code authenticity</x:v>
      </x:c>
      <x:c r="D118" s="5" t="str">
        <x:v>Enforce mobile-code authenticity verification before execution</x:v>
      </x:c>
      <x:c r="E118" s="5" t="str">
        <x:v>Conditional mandatory</x:v>
      </x:c>
      <x:c r="F118" s="5" t="str">
        <x:v>EDR component; relevant FR SL-C &gt;= 2; feature conditions apply</x:v>
      </x:c>
      <x:c r="G118" s="5" t="n">
        <x:v>2</x:v>
      </x:c>
      <x:c r="H118" s="5" t="str">
        <x:v>13.2.3</x:v>
      </x:c>
      <x:c r="I118" s="5" t="str">
        <x:v>66</x:v>
      </x:c>
      <x:c r="J118" s="5" t="str">
        <x:v>64</x:v>
      </x:c>
      <x:c r="K118" s="5" t="str">
        <x:v>apps/ccli/core; apps/ccli/adapters; apps/ccli/CMakeLists.txt; apps/ccli/tests/unit; CI/code-review work required</x:v>
      </x:c>
      <x:c r="L118" s="5" t="str">
        <x:v>HiTEKS firmware lead</x:v>
      </x:c>
      <x:c r="M118" s="5" t="str">
        <x:v>Existing implementation area; requirement acceptance open</x:v>
      </x:c>
      <x:c r="N118" s="5" t="str">
        <x:v>Not demonstrated</x:v>
      </x:c>
      <x:c r="O118" s="5" t="str">
        <x:v>Review record plus reproducible automated analysis/regression results for the frozen source. Verify: Enforce mobile-code authenticity verification before execution.</x:v>
      </x:c>
      <x:c r="P118" s="10" t="str"/>
      <x:c r="Q118" s="10" t="str">
        <x:v>Open</x:v>
      </x:c>
      <x:c r="R118" s="10" t="str"/>
      <x:c r="S118" s="10" t="str"/>
      <x:c r="T118" s="10" t="str"/>
      <x:c r="U118" s="5" t="str">
        <x:f>IF(Q118="Closed",IF(AND(R118&lt;&gt;"",S118&lt;&gt;""),"Closed recorded","Missing evidence/reviewer"),IF(Q118="N/A approved",IF(AND(T118&lt;&gt;"",S118&lt;&gt;""),"N/A recorded","Missing applicability approval"),"Open"))</x:f>
        <x:v>Open</x:v>
      </x:c>
      <x:c r="V118" s="5" t="str">
        <x:v>Normativa/IEC 62443-4-2-2019.pdf</x:v>
      </x:c>
      <x:c r="W118" s="5" t="str"/>
    </x:row>
    <x:row r="119" ht="36" customHeight="1">
      <x:c r="A119" s="5" t="str">
        <x:v>COMP-EDR2-13-01</x:v>
      </x:c>
      <x:c r="B119" s="5" t="str">
        <x:v>EDR2.13</x:v>
      </x:c>
      <x:c r="C119" s="5" t="str">
        <x:v>Physical diagnostic interfaces</x:v>
      </x:c>
      <x:c r="D119" s="5" t="str">
        <x:v>Protect factory diagnostic/test interfaces against unauthorized use</x:v>
      </x:c>
      <x:c r="E119" s="5" t="str">
        <x:v>Conditional mandatory</x:v>
      </x:c>
      <x:c r="F119" s="5" t="str">
        <x:v>Component classified as EDR; relevant FR SL-C &gt;= 2; feature conditions apply</x:v>
      </x:c>
      <x:c r="G119" s="5" t="n">
        <x:v>2</x:v>
      </x:c>
      <x:c r="H119" s="5" t="str">
        <x:v>13.3.1</x:v>
      </x:c>
      <x:c r="I119" s="5" t="str">
        <x:v>66-67</x:v>
      </x:c>
      <x:c r="J119" s="5" t="str">
        <x:v>64,65</x:v>
      </x:c>
      <x:c r="K119" s="5" t="str">
        <x:v>Tespro BootROM/bootloader/rootfs/recovery and fuse policy; apps/firmware-updater public TPM trust is not a complete boot chain</x:v>
      </x:c>
      <x:c r="L119" s="5" t="str">
        <x:v>Tespro platform + HiTEKS acceptance</x:v>
      </x:c>
      <x:c r="M119" s="5" t="str">
        <x:v>Not demonstrated</x:v>
      </x:c>
      <x:c r="N119" s="5" t="str">
        <x:v>Not demonstrated</x:v>
      </x:c>
      <x:c r="O119" s="5" t="str">
        <x:v>Exact production board/image tests reject altered/unauthorized boot inputs and prove protected trust. Verify: Protect factory diagnostic/test interfaces against unauthorized use.</x:v>
      </x:c>
      <x:c r="P119" s="10" t="str"/>
      <x:c r="Q119" s="10" t="str">
        <x:v>Open</x:v>
      </x:c>
      <x:c r="R119" s="10" t="str"/>
      <x:c r="S119" s="10" t="str"/>
      <x:c r="T119" s="10" t="str"/>
      <x:c r="U119" s="5" t="str">
        <x:f>IF(Q119="Closed",IF(AND(R119&lt;&gt;"",S119&lt;&gt;""),"Closed recorded","Missing evidence/reviewer"),IF(Q119="N/A approved",IF(AND(T119&lt;&gt;"",S119&lt;&gt;""),"N/A recorded","Missing applicability approval"),"Open"))</x:f>
        <x:v>Open</x:v>
      </x:c>
      <x:c r="V119" s="5" t="str">
        <x:v>Normativa/IEC 62443-4-2-2019.pdf</x:v>
      </x:c>
      <x:c r="W119" s="5" t="str">
        <x:v>SAR application and EDR finished-controller scopes are candidates. NDR requires network-device/boundary scope decision. HDR is a separate classification decision, not implied by USB/console presence.</x:v>
      </x:c>
    </x:row>
    <x:row r="120" ht="47" customHeight="1">
      <x:c r="A120" s="5" t="str">
        <x:v>COMP-EDR2-13-02</x:v>
      </x:c>
      <x:c r="B120" s="5" t="str">
        <x:v>EDR2.13</x:v>
      </x:c>
      <x:c r="C120" s="5" t="str">
        <x:v>Physical diagnostic interfaces</x:v>
      </x:c>
      <x:c r="D120" s="5" t="str">
        <x:v>Determine by threat/risk assessment any exception for interfaces unable to control the device or access non-public information</x:v>
      </x:c>
      <x:c r="E120" s="5" t="str">
        <x:v>Conditional mandatory</x:v>
      </x:c>
      <x:c r="F120" s="5" t="str">
        <x:v>Component classified as EDR; relevant FR SL-C &gt;= 2; feature conditions apply</x:v>
      </x:c>
      <x:c r="G120" s="5" t="n">
        <x:v>2</x:v>
      </x:c>
      <x:c r="H120" s="5" t="str">
        <x:v>13.3.1</x:v>
      </x:c>
      <x:c r="I120" s="5" t="str">
        <x:v>66-67</x:v>
      </x:c>
      <x:c r="J120" s="5" t="str">
        <x:v>64,65</x:v>
      </x:c>
      <x:c r="K120" s="5" t="str">
        <x:v>Tespro BootROM/bootloader/rootfs/recovery and fuse policy; apps/firmware-updater public TPM trust is not a complete boot chain</x:v>
      </x:c>
      <x:c r="L120" s="5" t="str">
        <x:v>Tespro platform + HiTEKS acceptance</x:v>
      </x:c>
      <x:c r="M120" s="5" t="str">
        <x:v>Not demonstrated</x:v>
      </x:c>
      <x:c r="N120" s="5" t="str">
        <x:v>Not demonstrated</x:v>
      </x:c>
      <x:c r="O120" s="5" t="str">
        <x:v>Exact production board/image tests reject altered/unauthorized boot inputs and prove protected trust. Verify: Determine by threat/risk assessment any exception for interfaces unable to control the device or access non-public information.</x:v>
      </x:c>
      <x:c r="P120" s="10" t="str"/>
      <x:c r="Q120" s="10" t="str">
        <x:v>Open</x:v>
      </x:c>
      <x:c r="R120" s="10" t="str"/>
      <x:c r="S120" s="10" t="str"/>
      <x:c r="T120" s="10" t="str"/>
      <x:c r="U120" s="5" t="str">
        <x:f>IF(Q120="Closed",IF(AND(R120&lt;&gt;"",S120&lt;&gt;""),"Closed recorded","Missing evidence/reviewer"),IF(Q120="N/A approved",IF(AND(T120&lt;&gt;"",S120&lt;&gt;""),"N/A recorded","Missing applicability approval"),"Open"))</x:f>
        <x:v>Open</x:v>
      </x:c>
      <x:c r="V120" s="5" t="str">
        <x:v>Normativa/IEC 62443-4-2-2019.pdf</x:v>
      </x:c>
      <x:c r="W120" s="5" t="str">
        <x:v>SAR application and EDR finished-controller scopes are candidates. NDR requires network-device/boundary scope decision. HDR is a separate classification decision, not implied by USB/console presence.</x:v>
      </x:c>
    </x:row>
    <x:row r="121" ht="36" customHeight="1">
      <x:c r="A121" s="5" t="str">
        <x:v>COMP-EDR2-13-RE1-01</x:v>
      </x:c>
      <x:c r="B121" s="5" t="str">
        <x:v>EDR2.13-RE1</x:v>
      </x:c>
      <x:c r="C121" s="5" t="str">
        <x:v>Diagnostic monitoring</x:v>
      </x:c>
      <x:c r="D121" s="5" t="str">
        <x:v>Actively monitor diagnostic/test access attempts</x:v>
      </x:c>
      <x:c r="E121" s="5" t="str">
        <x:v>Conditional mandatory</x:v>
      </x:c>
      <x:c r="F121" s="5" t="str">
        <x:v>EDR component; relevant FR SL-C &gt;= 3; feature conditions apply</x:v>
      </x:c>
      <x:c r="G121" s="5" t="n">
        <x:v>3</x:v>
      </x:c>
      <x:c r="H121" s="5" t="str">
        <x:v>13.3.3</x:v>
      </x:c>
      <x:c r="I121" s="5" t="str">
        <x:v>66-67</x:v>
      </x:c>
      <x:c r="J121" s="5" t="str">
        <x:v>64,65</x:v>
      </x:c>
      <x:c r="K121" s="5" t="str">
        <x:v>Tespro BootROM/bootloader/rootfs/recovery and fuse policy; apps/firmware-updater public TPM trust is not a complete boot chain</x:v>
      </x:c>
      <x:c r="L121" s="5" t="str">
        <x:v>Tespro platform + HiTEKS acceptance</x:v>
      </x:c>
      <x:c r="M121" s="5" t="str">
        <x:v>Not demonstrated</x:v>
      </x:c>
      <x:c r="N121" s="5" t="str">
        <x:v>Not demonstrated</x:v>
      </x:c>
      <x:c r="O121" s="5" t="str">
        <x:v>Exact production board/image tests reject altered/unauthorized boot inputs and prove protected trust. Verify: Actively monitor diagnostic/test access attempts.</x:v>
      </x:c>
      <x:c r="P121" s="10" t="str"/>
      <x:c r="Q121" s="10" t="str">
        <x:v>Open</x:v>
      </x:c>
      <x:c r="R121" s="10" t="str"/>
      <x:c r="S121" s="10" t="str"/>
      <x:c r="T121" s="10" t="str"/>
      <x:c r="U121" s="5" t="str">
        <x:f>IF(Q121="Closed",IF(AND(R121&lt;&gt;"",S121&lt;&gt;""),"Closed recorded","Missing evidence/reviewer"),IF(Q121="N/A approved",IF(AND(T121&lt;&gt;"",S121&lt;&gt;""),"N/A recorded","Missing applicability approval"),"Open"))</x:f>
        <x:v>Open</x:v>
      </x:c>
      <x:c r="V121" s="5" t="str">
        <x:v>Normativa/IEC 62443-4-2-2019.pdf</x:v>
      </x:c>
      <x:c r="W121" s="5" t="str"/>
    </x:row>
    <x:row r="122" ht="36" customHeight="1">
      <x:c r="A122" s="5" t="str">
        <x:v>COMP-EDR2-13-RE1-02</x:v>
      </x:c>
      <x:c r="B122" s="5" t="str">
        <x:v>EDR2.13-RE1</x:v>
      </x:c>
      <x:c r="C122" s="5" t="str">
        <x:v>Diagnostic monitoring</x:v>
      </x:c>
      <x:c r="D122" s="5" t="str">
        <x:v>Record attempts in the audit log</x:v>
      </x:c>
      <x:c r="E122" s="5" t="str">
        <x:v>Conditional mandatory</x:v>
      </x:c>
      <x:c r="F122" s="5" t="str">
        <x:v>EDR component; relevant FR SL-C &gt;= 3; feature conditions apply</x:v>
      </x:c>
      <x:c r="G122" s="5" t="n">
        <x:v>3</x:v>
      </x:c>
      <x:c r="H122" s="5" t="str">
        <x:v>13.3.3</x:v>
      </x:c>
      <x:c r="I122" s="5" t="str">
        <x:v>66-67</x:v>
      </x:c>
      <x:c r="J122" s="5" t="str">
        <x:v>64,65</x:v>
      </x:c>
      <x:c r="K122" s="5" t="str">
        <x:v>Tespro BootROM/bootloader/rootfs/recovery and fuse policy; apps/firmware-updater public TPM trust is not a complete boot chain</x:v>
      </x:c>
      <x:c r="L122" s="5" t="str">
        <x:v>Tespro platform + HiTEKS acceptance</x:v>
      </x:c>
      <x:c r="M122" s="5" t="str">
        <x:v>Not demonstrated</x:v>
      </x:c>
      <x:c r="N122" s="5" t="str">
        <x:v>Not demonstrated</x:v>
      </x:c>
      <x:c r="O122" s="5" t="str">
        <x:v>Exact production board/image tests reject altered/unauthorized boot inputs and prove protected trust. Verify: Record attempts in the audit log.</x:v>
      </x:c>
      <x:c r="P122" s="10" t="str"/>
      <x:c r="Q122" s="10" t="str">
        <x:v>Open</x:v>
      </x:c>
      <x:c r="R122" s="10" t="str"/>
      <x:c r="S122" s="10" t="str"/>
      <x:c r="T122" s="10" t="str"/>
      <x:c r="U122" s="5" t="str">
        <x:f>IF(Q122="Closed",IF(AND(R122&lt;&gt;"",S122&lt;&gt;""),"Closed recorded","Missing evidence/reviewer"),IF(Q122="N/A approved",IF(AND(T122&lt;&gt;"",S122&lt;&gt;""),"N/A recorded","Missing applicability approval"),"Open"))</x:f>
        <x:v>Open</x:v>
      </x:c>
      <x:c r="V122" s="5" t="str">
        <x:v>Normativa/IEC 62443-4-2-2019.pdf</x:v>
      </x:c>
      <x:c r="W122" s="5" t="str"/>
    </x:row>
    <x:row r="123" ht="36" customHeight="1">
      <x:c r="A123" s="5" t="str">
        <x:v>COMP-EDR3-2-01</x:v>
      </x:c>
      <x:c r="B123" s="5" t="str">
        <x:v>EDR3.2</x:v>
      </x:c>
      <x:c r="C123" s="5" t="str">
        <x:v>Malicious-code protection</x:v>
      </x:c>
      <x:c r="D123" s="5" t="str">
        <x:v>Protect against installation and execution of unauthorized software</x:v>
      </x:c>
      <x:c r="E123" s="5" t="str">
        <x:v>Conditional mandatory</x:v>
      </x:c>
      <x:c r="F123" s="5" t="str">
        <x:v>Component classified as EDR; relevant FR SL-C &gt;= 1; feature conditions apply</x:v>
      </x:c>
      <x:c r="G123" s="5" t="n">
        <x:v>1</x:v>
      </x:c>
      <x:c r="H123" s="5" t="str">
        <x:v>13.4.1</x:v>
      </x:c>
      <x:c r="I123" s="5" t="str">
        <x:v>67-68</x:v>
      </x:c>
      <x:c r="J123" s="5" t="str">
        <x:v>65,66</x:v>
      </x:c>
      <x:c r="K123" s="5" t="str">
        <x:v>Tespro BootROM/bootloader/rootfs/recovery and fuse policy; apps/firmware-updater public TPM trust is not a complete boot chain</x:v>
      </x:c>
      <x:c r="L123" s="5" t="str">
        <x:v>Tespro platform + HiTEKS acceptance</x:v>
      </x:c>
      <x:c r="M123" s="5" t="str">
        <x:v>Not demonstrated</x:v>
      </x:c>
      <x:c r="N123" s="5" t="str">
        <x:v>Not demonstrated</x:v>
      </x:c>
      <x:c r="O123" s="5" t="str">
        <x:v>Exact production board/image tests reject altered/unauthorized boot inputs and prove protected trust. Verify: Protect against installation and execution of unauthorized software.</x:v>
      </x:c>
      <x:c r="P123" s="10" t="str"/>
      <x:c r="Q123" s="10" t="str">
        <x:v>Open</x:v>
      </x:c>
      <x:c r="R123" s="10" t="str"/>
      <x:c r="S123" s="10" t="str"/>
      <x:c r="T123" s="10" t="str"/>
      <x:c r="U123" s="5" t="str">
        <x:f>IF(Q123="Closed",IF(AND(R123&lt;&gt;"",S123&lt;&gt;""),"Closed recorded","Missing evidence/reviewer"),IF(Q123="N/A approved",IF(AND(T123&lt;&gt;"",S123&lt;&gt;""),"N/A recorded","Missing applicability approval"),"Open"))</x:f>
        <x:v>Open</x:v>
      </x:c>
      <x:c r="V123" s="5" t="str">
        <x:v>Normativa/IEC 62443-4-2-2019.pdf</x:v>
      </x:c>
      <x:c r="W123" s="5" t="str">
        <x:v>SAR application and EDR finished-controller scopes are candidates. NDR requires network-device/boundary scope decision. HDR is a separate classification decision, not implied by USB/console presence.</x:v>
      </x:c>
    </x:row>
    <x:row r="124" ht="36" customHeight="1">
      <x:c r="A124" s="5" t="str">
        <x:v>COMP-EDR3-10-01</x:v>
      </x:c>
      <x:c r="B124" s="5" t="str">
        <x:v>EDR3.10</x:v>
      </x:c>
      <x:c r="C124" s="5" t="str">
        <x:v>Update support</x:v>
      </x:c>
      <x:c r="D124" s="5" t="str">
        <x:v>Support updates and upgrades</x:v>
      </x:c>
      <x:c r="E124" s="5" t="str">
        <x:v>Conditional mandatory</x:v>
      </x:c>
      <x:c r="F124" s="5" t="str">
        <x:v>Component classified as EDR; relevant FR SL-C &gt;= 1; feature conditions apply</x:v>
      </x:c>
      <x:c r="G124" s="5" t="n">
        <x:v>1</x:v>
      </x:c>
      <x:c r="H124" s="5" t="str">
        <x:v>13.5.1</x:v>
      </x:c>
      <x:c r="I124" s="5" t="str">
        <x:v>68</x:v>
      </x:c>
      <x:c r="J124" s="5" t="str">
        <x:v>66</x:v>
      </x:c>
      <x:c r="K124" s="5" t="str">
        <x:v>apps/firmware-updater/src/firmware_updater.cpp; docs/SIGNING_AND_USB_UPDATES.md; package/ccli/Makefile</x:v>
      </x:c>
      <x:c r="L124" s="5" t="str">
        <x:v>HiTEKS release/security lead</x:v>
      </x:c>
      <x:c r="M124" s="5" t="str">
        <x:v>Existing implementation area; requirement acceptance open</x:v>
      </x:c>
      <x:c r="N124" s="5" t="str">
        <x:v>Canonical firmware-updater absent at reviewed GitHub main; verify alternative mechanism</x:v>
      </x:c>
      <x:c r="O124" s="5" t="str">
        <x:v>Signed USB installation and negative signature/replay tests for exact release; verify failure and recovery. Verify: Support updates and upgrades.</x:v>
      </x:c>
      <x:c r="P124" s="10" t="str"/>
      <x:c r="Q124" s="10" t="str">
        <x:v>Open</x:v>
      </x:c>
      <x:c r="R124" s="10" t="str"/>
      <x:c r="S124" s="10" t="str"/>
      <x:c r="T124" s="10" t="str"/>
      <x:c r="U124" s="5" t="str">
        <x:f>IF(Q124="Closed",IF(AND(R124&lt;&gt;"",S124&lt;&gt;""),"Closed recorded","Missing evidence/reviewer"),IF(Q124="N/A approved",IF(AND(T124&lt;&gt;"",S124&lt;&gt;""),"N/A recorded","Missing applicability approval"),"Open"))</x:f>
        <x:v>Open</x:v>
      </x:c>
      <x:c r="V124" s="5" t="str">
        <x:v>Normativa/IEC 62443-4-2-2019.pdf</x:v>
      </x:c>
      <x:c r="W124" s="5" t="str">
        <x:v>SAR application and EDR finished-controller scopes are candidates. NDR requires network-device/boundary scope decision. HDR is a separate classification decision, not implied by USB/console presence.</x:v>
      </x:c>
    </x:row>
    <x:row r="125" ht="36" customHeight="1">
      <x:c r="A125" s="5" t="str">
        <x:v>COMP-EDR3-10-RE1-01</x:v>
      </x:c>
      <x:c r="B125" s="5" t="str">
        <x:v>EDR3.10-RE1</x:v>
      </x:c>
      <x:c r="C125" s="5" t="str">
        <x:v>Update authenticity/integrity</x:v>
      </x:c>
      <x:c r="D125" s="5" t="str">
        <x:v>Validate authenticity and integrity of every software update/upgrade before installation</x:v>
      </x:c>
      <x:c r="E125" s="5" t="str">
        <x:v>Conditional mandatory</x:v>
      </x:c>
      <x:c r="F125" s="5" t="str">
        <x:v>EDR component; relevant FR SL-C &gt;= 2; feature conditions apply</x:v>
      </x:c>
      <x:c r="G125" s="5" t="n">
        <x:v>2</x:v>
      </x:c>
      <x:c r="H125" s="5" t="str">
        <x:v>13.5.3</x:v>
      </x:c>
      <x:c r="I125" s="5" t="str">
        <x:v>68</x:v>
      </x:c>
      <x:c r="J125" s="5" t="str">
        <x:v>66</x:v>
      </x:c>
      <x:c r="K125" s="5" t="str">
        <x:v>apps/firmware-updater/src/firmware_updater.cpp; docs/SIGNING_AND_USB_UPDATES.md; package/ccli/Makefile</x:v>
      </x:c>
      <x:c r="L125" s="5" t="str">
        <x:v>HiTEKS release/security lead</x:v>
      </x:c>
      <x:c r="M125" s="5" t="str">
        <x:v>Existing implementation area; requirement acceptance open</x:v>
      </x:c>
      <x:c r="N125" s="5" t="str">
        <x:v>Canonical firmware-updater absent at reviewed GitHub main; verify alternative mechanism</x:v>
      </x:c>
      <x:c r="O125" s="5" t="str">
        <x:v>Signed USB installation and negative signature/replay tests for exact release; verify failure and recovery. Verify: Validate authenticity and integrity of every software update/upgrade before installation.</x:v>
      </x:c>
      <x:c r="P125" s="10" t="str"/>
      <x:c r="Q125" s="10" t="str">
        <x:v>Open</x:v>
      </x:c>
      <x:c r="R125" s="10" t="str"/>
      <x:c r="S125" s="10" t="str"/>
      <x:c r="T125" s="10" t="str"/>
      <x:c r="U125" s="5" t="str">
        <x:f>IF(Q125="Closed",IF(AND(R125&lt;&gt;"",S125&lt;&gt;""),"Closed recorded","Missing evidence/reviewer"),IF(Q125="N/A approved",IF(AND(T125&lt;&gt;"",S125&lt;&gt;""),"N/A recorded","Missing applicability approval"),"Open"))</x:f>
        <x:v>Open</x:v>
      </x:c>
      <x:c r="V125" s="5" t="str">
        <x:v>Normativa/IEC 62443-4-2-2019.pdf</x:v>
      </x:c>
      <x:c r="W125" s="5" t="str"/>
    </x:row>
    <x:row r="126" ht="36" customHeight="1">
      <x:c r="A126" s="5" t="str">
        <x:v>COMP-EDR3-11-01</x:v>
      </x:c>
      <x:c r="B126" s="5" t="str">
        <x:v>EDR3.11</x:v>
      </x:c>
      <x:c r="C126" s="5" t="str">
        <x:v>Physical tamper protection</x:v>
      </x:c>
      <x:c r="D126" s="5" t="str">
        <x:v>Provide physical tamper resistance and detection mechanisms</x:v>
      </x:c>
      <x:c r="E126" s="5" t="str">
        <x:v>Conditional mandatory</x:v>
      </x:c>
      <x:c r="F126" s="5" t="str">
        <x:v>Component classified as EDR; relevant FR SL-C &gt;= 2; feature conditions apply</x:v>
      </x:c>
      <x:c r="G126" s="5" t="n">
        <x:v>2</x:v>
      </x:c>
      <x:c r="H126" s="5" t="str">
        <x:v>13.6.1</x:v>
      </x:c>
      <x:c r="I126" s="5" t="str">
        <x:v>68-69</x:v>
      </x:c>
      <x:c r="J126" s="5" t="str">
        <x:v>66,67</x:v>
      </x:c>
      <x:c r="K126" s="5" t="str">
        <x:v>Tespro BootROM/bootloader/rootfs/recovery and fuse policy; apps/firmware-updater public TPM trust is not a complete boot chain</x:v>
      </x:c>
      <x:c r="L126" s="5" t="str">
        <x:v>Tespro platform + HiTEKS acceptance</x:v>
      </x:c>
      <x:c r="M126" s="5" t="str">
        <x:v>Not demonstrated</x:v>
      </x:c>
      <x:c r="N126" s="5" t="str">
        <x:v>Not demonstrated</x:v>
      </x:c>
      <x:c r="O126" s="5" t="str">
        <x:v>Exact production board/image tests reject altered/unauthorized boot inputs and prove protected trust. Verify: Provide physical tamper resistance and detection mechanisms.</x:v>
      </x:c>
      <x:c r="P126" s="10" t="str"/>
      <x:c r="Q126" s="10" t="str">
        <x:v>Open</x:v>
      </x:c>
      <x:c r="R126" s="10" t="str"/>
      <x:c r="S126" s="10" t="str"/>
      <x:c r="T126" s="10" t="str"/>
      <x:c r="U126" s="5" t="str">
        <x:f>IF(Q126="Closed",IF(AND(R126&lt;&gt;"",S126&lt;&gt;""),"Closed recorded","Missing evidence/reviewer"),IF(Q126="N/A approved",IF(AND(T126&lt;&gt;"",S126&lt;&gt;""),"N/A recorded","Missing applicability approval"),"Open"))</x:f>
        <x:v>Open</x:v>
      </x:c>
      <x:c r="V126" s="5" t="str">
        <x:v>Normativa/IEC 62443-4-2-2019.pdf</x:v>
      </x:c>
      <x:c r="W126" s="5" t="str">
        <x:v>SAR application and EDR finished-controller scopes are candidates. NDR requires network-device/boundary scope decision. HDR is a separate classification decision, not implied by USB/console presence.</x:v>
      </x:c>
    </x:row>
    <x:row r="127" ht="36" customHeight="1">
      <x:c r="A127" s="5" t="str">
        <x:v>COMP-EDR3-11-RE1-01</x:v>
      </x:c>
      <x:c r="B127" s="5" t="str">
        <x:v>EDR3.11-RE1</x:v>
      </x:c>
      <x:c r="C127" s="5" t="str">
        <x:v>Tamper notification</x:v>
      </x:c>
      <x:c r="D127" s="5" t="str">
        <x:v>Notify configurable recipients of detected unauthorized physical-access attempts</x:v>
      </x:c>
      <x:c r="E127" s="5" t="str">
        <x:v>Conditional mandatory</x:v>
      </x:c>
      <x:c r="F127" s="5" t="str">
        <x:v>EDR component; relevant FR SL-C &gt;= 3; feature conditions apply</x:v>
      </x:c>
      <x:c r="G127" s="5" t="n">
        <x:v>3</x:v>
      </x:c>
      <x:c r="H127" s="5" t="str">
        <x:v>13.6.3</x:v>
      </x:c>
      <x:c r="I127" s="5" t="str">
        <x:v>68-69</x:v>
      </x:c>
      <x:c r="J127" s="5" t="str">
        <x:v>66,67</x:v>
      </x:c>
      <x:c r="K127" s="5" t="str">
        <x:v>Tespro BootROM/bootloader/rootfs/recovery and fuse policy; apps/firmware-updater public TPM trust is not a complete boot chain</x:v>
      </x:c>
      <x:c r="L127" s="5" t="str">
        <x:v>Tespro platform + HiTEKS acceptance</x:v>
      </x:c>
      <x:c r="M127" s="5" t="str">
        <x:v>Not demonstrated</x:v>
      </x:c>
      <x:c r="N127" s="5" t="str">
        <x:v>Not demonstrated</x:v>
      </x:c>
      <x:c r="O127" s="5" t="str">
        <x:v>Exact production board/image tests reject altered/unauthorized boot inputs and prove protected trust. Verify: Notify configurable recipients of detected unauthorized physical-access attempts.</x:v>
      </x:c>
      <x:c r="P127" s="10" t="str"/>
      <x:c r="Q127" s="10" t="str">
        <x:v>Open</x:v>
      </x:c>
      <x:c r="R127" s="10" t="str"/>
      <x:c r="S127" s="10" t="str"/>
      <x:c r="T127" s="10" t="str"/>
      <x:c r="U127" s="5" t="str">
        <x:f>IF(Q127="Closed",IF(AND(R127&lt;&gt;"",S127&lt;&gt;""),"Closed recorded","Missing evidence/reviewer"),IF(Q127="N/A approved",IF(AND(T127&lt;&gt;"",S127&lt;&gt;""),"N/A recorded","Missing applicability approval"),"Open"))</x:f>
        <x:v>Open</x:v>
      </x:c>
      <x:c r="V127" s="5" t="str">
        <x:v>Normativa/IEC 62443-4-2-2019.pdf</x:v>
      </x:c>
      <x:c r="W127" s="5" t="str"/>
    </x:row>
    <x:row r="128" ht="36" customHeight="1">
      <x:c r="A128" s="5" t="str">
        <x:v>COMP-EDR3-11-RE1-02</x:v>
      </x:c>
      <x:c r="B128" s="5" t="str">
        <x:v>EDR3.11-RE1</x:v>
      </x:c>
      <x:c r="C128" s="5" t="str">
        <x:v>Tamper notification</x:v>
      </x:c>
      <x:c r="D128" s="5" t="str">
        <x:v>Log all tamper notifications</x:v>
      </x:c>
      <x:c r="E128" s="5" t="str">
        <x:v>Conditional mandatory</x:v>
      </x:c>
      <x:c r="F128" s="5" t="str">
        <x:v>EDR component; relevant FR SL-C &gt;= 3; feature conditions apply</x:v>
      </x:c>
      <x:c r="G128" s="5" t="n">
        <x:v>3</x:v>
      </x:c>
      <x:c r="H128" s="5" t="str">
        <x:v>13.6.3</x:v>
      </x:c>
      <x:c r="I128" s="5" t="str">
        <x:v>68-69</x:v>
      </x:c>
      <x:c r="J128" s="5" t="str">
        <x:v>66,67</x:v>
      </x:c>
      <x:c r="K128" s="5" t="str">
        <x:v>Tespro BootROM/bootloader/rootfs/recovery and fuse policy; apps/firmware-updater public TPM trust is not a complete boot chain</x:v>
      </x:c>
      <x:c r="L128" s="5" t="str">
        <x:v>Tespro platform + HiTEKS acceptance</x:v>
      </x:c>
      <x:c r="M128" s="5" t="str">
        <x:v>Not demonstrated</x:v>
      </x:c>
      <x:c r="N128" s="5" t="str">
        <x:v>Not demonstrated</x:v>
      </x:c>
      <x:c r="O128" s="5" t="str">
        <x:v>Exact production board/image tests reject altered/unauthorized boot inputs and prove protected trust. Verify: Log all tamper notifications.</x:v>
      </x:c>
      <x:c r="P128" s="10" t="str"/>
      <x:c r="Q128" s="10" t="str">
        <x:v>Open</x:v>
      </x:c>
      <x:c r="R128" s="10" t="str"/>
      <x:c r="S128" s="10" t="str"/>
      <x:c r="T128" s="10" t="str"/>
      <x:c r="U128" s="5" t="str">
        <x:f>IF(Q128="Closed",IF(AND(R128&lt;&gt;"",S128&lt;&gt;""),"Closed recorded","Missing evidence/reviewer"),IF(Q128="N/A approved",IF(AND(T128&lt;&gt;"",S128&lt;&gt;""),"N/A recorded","Missing applicability approval"),"Open"))</x:f>
        <x:v>Open</x:v>
      </x:c>
      <x:c r="V128" s="5" t="str">
        <x:v>Normativa/IEC 62443-4-2-2019.pdf</x:v>
      </x:c>
      <x:c r="W128" s="5" t="str"/>
    </x:row>
    <x:row r="129" ht="47" customHeight="1">
      <x:c r="A129" s="5" t="str">
        <x:v>COMP-EDR3-12-01</x:v>
      </x:c>
      <x:c r="B129" s="5" t="str">
        <x:v>EDR3.12</x:v>
      </x:c>
      <x:c r="C129" s="5" t="str">
        <x:v>Supplier roots of trust</x:v>
      </x:c>
      <x:c r="D129" s="5" t="str">
        <x:v>Provision and protect confidentiality, integrity and authenticity of supplier keys/data used as roots of trust at manufacture</x:v>
      </x:c>
      <x:c r="E129" s="5" t="str">
        <x:v>Conditional mandatory</x:v>
      </x:c>
      <x:c r="F129" s="5" t="str">
        <x:v>Component classified as EDR; relevant FR SL-C &gt;= 2; feature conditions apply</x:v>
      </x:c>
      <x:c r="G129" s="5" t="n">
        <x:v>2</x:v>
      </x:c>
      <x:c r="H129" s="5" t="str">
        <x:v>13.7.1</x:v>
      </x:c>
      <x:c r="I129" s="5" t="str">
        <x:v>69-70</x:v>
      </x:c>
      <x:c r="J129" s="5" t="str">
        <x:v>67,68</x:v>
      </x:c>
      <x:c r="K129" s="5" t="str">
        <x:v>Tespro BootROM/bootloader/rootfs/recovery and fuse policy; apps/firmware-updater public TPM trust is not a complete boot chain</x:v>
      </x:c>
      <x:c r="L129" s="5" t="str">
        <x:v>Tespro platform + HiTEKS acceptance</x:v>
      </x:c>
      <x:c r="M129" s="5" t="str">
        <x:v>Not demonstrated</x:v>
      </x:c>
      <x:c r="N129" s="5" t="str">
        <x:v>Not demonstrated</x:v>
      </x:c>
      <x:c r="O129" s="5" t="str">
        <x:v>Exact production board/image tests reject altered/unauthorized boot inputs and prove protected trust. Verify: Provision and protect confidentiality, integrity and authenticity of supplier keys/data used as roots of trust at manufacture.</x:v>
      </x:c>
      <x:c r="P129" s="10" t="str"/>
      <x:c r="Q129" s="10" t="str">
        <x:v>Open</x:v>
      </x:c>
      <x:c r="R129" s="10" t="str"/>
      <x:c r="S129" s="10" t="str"/>
      <x:c r="T129" s="10" t="str"/>
      <x:c r="U129" s="5" t="str">
        <x:f>IF(Q129="Closed",IF(AND(R129&lt;&gt;"",S129&lt;&gt;""),"Closed recorded","Missing evidence/reviewer"),IF(Q129="N/A approved",IF(AND(T129&lt;&gt;"",S129&lt;&gt;""),"N/A recorded","Missing applicability approval"),"Open"))</x:f>
        <x:v>Open</x:v>
      </x:c>
      <x:c r="V129" s="5" t="str">
        <x:v>Normativa/IEC 62443-4-2-2019.pdf</x:v>
      </x:c>
      <x:c r="W129" s="5" t="str">
        <x:v>SAR application and EDR finished-controller scopes are candidates. NDR requires network-device/boundary scope decision. HDR is a separate classification decision, not implied by USB/console presence.</x:v>
      </x:c>
    </x:row>
    <x:row r="130" ht="47" customHeight="1">
      <x:c r="A130" s="5" t="str">
        <x:v>COMP-EDR3-13-01</x:v>
      </x:c>
      <x:c r="B130" s="5" t="str">
        <x:v>EDR3.13</x:v>
      </x:c>
      <x:c r="C130" s="5" t="str">
        <x:v>Owner roots of trust</x:v>
      </x:c>
      <x:c r="D130" s="5" t="str">
        <x:v>Provision and protect confidentiality, integrity and authenticity of asset-owner keys/data used as roots of trust</x:v>
      </x:c>
      <x:c r="E130" s="5" t="str">
        <x:v>Conditional mandatory</x:v>
      </x:c>
      <x:c r="F130" s="5" t="str">
        <x:v>Component classified as EDR; relevant FR SL-C &gt;= 2; feature conditions apply</x:v>
      </x:c>
      <x:c r="G130" s="5" t="n">
        <x:v>2</x:v>
      </x:c>
      <x:c r="H130" s="5" t="str">
        <x:v>13.8.1</x:v>
      </x:c>
      <x:c r="I130" s="5" t="str">
        <x:v>70-71</x:v>
      </x:c>
      <x:c r="J130" s="5" t="str">
        <x:v>68,69</x:v>
      </x:c>
      <x:c r="K130" s="5" t="str">
        <x:v>Tespro BootROM/bootloader/rootfs/recovery and fuse policy; apps/firmware-updater public TPM trust is not a complete boot chain</x:v>
      </x:c>
      <x:c r="L130" s="5" t="str">
        <x:v>Tespro platform + HiTEKS acceptance</x:v>
      </x:c>
      <x:c r="M130" s="5" t="str">
        <x:v>Not demonstrated</x:v>
      </x:c>
      <x:c r="N130" s="5" t="str">
        <x:v>Not demonstrated</x:v>
      </x:c>
      <x:c r="O130" s="5" t="str">
        <x:v>Exact production board/image tests reject altered/unauthorized boot inputs and prove protected trust. Verify: Provision and protect confidentiality, integrity and authenticity of asset-owner keys/data used as roots of trust.</x:v>
      </x:c>
      <x:c r="P130" s="10" t="str"/>
      <x:c r="Q130" s="10" t="str">
        <x:v>Open</x:v>
      </x:c>
      <x:c r="R130" s="10" t="str"/>
      <x:c r="S130" s="10" t="str"/>
      <x:c r="T130" s="10" t="str"/>
      <x:c r="U130" s="5" t="str">
        <x:f>IF(Q130="Closed",IF(AND(R130&lt;&gt;"",S130&lt;&gt;""),"Closed recorded","Missing evidence/reviewer"),IF(Q130="N/A approved",IF(AND(T130&lt;&gt;"",S130&lt;&gt;""),"N/A recorded","Missing applicability approval"),"Open"))</x:f>
        <x:v>Open</x:v>
      </x:c>
      <x:c r="V130" s="5" t="str">
        <x:v>Normativa/IEC 62443-4-2-2019.pdf</x:v>
      </x:c>
      <x:c r="W130" s="5" t="str">
        <x:v>SAR application and EDR finished-controller scopes are candidates. NDR requires network-device/boundary scope decision. HDR is a separate classification decision, not implied by USB/console presence.</x:v>
      </x:c>
    </x:row>
    <x:row r="131" ht="36" customHeight="1">
      <x:c r="A131" s="5" t="str">
        <x:v>COMP-EDR3-14-01</x:v>
      </x:c>
      <x:c r="B131" s="5" t="str">
        <x:v>EDR3.14</x:v>
      </x:c>
      <x:c r="C131" s="5" t="str">
        <x:v>Boot integrity</x:v>
      </x:c>
      <x:c r="D131" s="5" t="str">
        <x:v>Verify integrity of firmware/software/configuration needed for boot and runtime before use</x:v>
      </x:c>
      <x:c r="E131" s="5" t="str">
        <x:v>Conditional mandatory</x:v>
      </x:c>
      <x:c r="F131" s="5" t="str">
        <x:v>Component classified as EDR; relevant FR SL-C &gt;= 1; feature conditions apply</x:v>
      </x:c>
      <x:c r="G131" s="5" t="n">
        <x:v>1</x:v>
      </x:c>
      <x:c r="H131" s="5" t="str">
        <x:v>13.9.1</x:v>
      </x:c>
      <x:c r="I131" s="5" t="str">
        <x:v>71</x:v>
      </x:c>
      <x:c r="J131" s="5" t="str">
        <x:v>69</x:v>
      </x:c>
      <x:c r="K131" s="5" t="str">
        <x:v>Tespro BootROM/bootloader/rootfs/recovery and fuse policy; apps/firmware-updater public TPM trust is not a complete boot chain</x:v>
      </x:c>
      <x:c r="L131" s="5" t="str">
        <x:v>Tespro platform + HiTEKS acceptance</x:v>
      </x:c>
      <x:c r="M131" s="5" t="str">
        <x:v>Supplier draft guidance only; enforced production boot chain not demonstrated</x:v>
      </x:c>
      <x:c r="N131" s="5" t="str">
        <x:v>Not demonstrated</x:v>
      </x:c>
      <x:c r="O131" s="5" t="str">
        <x:v>Exact production board/image tests reject altered/unauthorized boot inputs and prove protected trust. Verify: Verify integrity of firmware/software/configuration needed for boot and runtime before use.</x:v>
      </x:c>
      <x:c r="P131" s="10" t="str"/>
      <x:c r="Q131" s="10" t="str">
        <x:v>Open</x:v>
      </x:c>
      <x:c r="R131" s="10" t="str"/>
      <x:c r="S131" s="10" t="str"/>
      <x:c r="T131" s="10" t="str"/>
      <x:c r="U131" s="5" t="str">
        <x:f>IF(Q131="Closed",IF(AND(R131&lt;&gt;"",S131&lt;&gt;""),"Closed recorded","Missing evidence/reviewer"),IF(Q131="N/A approved",IF(AND(T131&lt;&gt;"",S131&lt;&gt;""),"N/A recorded","Missing applicability approval"),"Open"))</x:f>
        <x:v>Open</x:v>
      </x:c>
      <x:c r="V131" s="5" t="str">
        <x:v>Normativa/IEC 62443-4-2-2019.pdf</x:v>
      </x:c>
      <x:c r="W131" s="5" t="str">
        <x:v>SAR application and EDR finished-controller scopes are candidates. NDR requires network-device/boundary scope decision. HDR is a separate classification decision, not implied by USB/console presence.</x:v>
      </x:c>
    </x:row>
    <x:row r="132" ht="47" customHeight="1">
      <x:c r="A132" s="5" t="str">
        <x:v>COMP-EDR3-14-RE1-01</x:v>
      </x:c>
      <x:c r="B132" s="5" t="str">
        <x:v>EDR3.14-RE1</x:v>
      </x:c>
      <x:c r="C132" s="5" t="str">
        <x:v>Boot authenticity</x:v>
      </x:c>
      <x:c r="D132" s="5" t="str">
        <x:v>Verify boot firmware/software/configuration authenticity against supplier roots of trust before boot use</x:v>
      </x:c>
      <x:c r="E132" s="5" t="str">
        <x:v>Conditional mandatory</x:v>
      </x:c>
      <x:c r="F132" s="5" t="str">
        <x:v>EDR component; relevant FR SL-C &gt;= 2; feature conditions apply</x:v>
      </x:c>
      <x:c r="G132" s="5" t="n">
        <x:v>2</x:v>
      </x:c>
      <x:c r="H132" s="5" t="str">
        <x:v>13.9.3</x:v>
      </x:c>
      <x:c r="I132" s="5" t="str">
        <x:v>71</x:v>
      </x:c>
      <x:c r="J132" s="5" t="str">
        <x:v>69</x:v>
      </x:c>
      <x:c r="K132" s="5" t="str">
        <x:v>Tespro BootROM/bootloader/rootfs/recovery and fuse policy; apps/firmware-updater public TPM trust is not a complete boot chain</x:v>
      </x:c>
      <x:c r="L132" s="5" t="str">
        <x:v>Tespro platform + HiTEKS acceptance</x:v>
      </x:c>
      <x:c r="M132" s="5" t="str">
        <x:v>Supplier draft guidance only; enforced production boot chain not demonstrated</x:v>
      </x:c>
      <x:c r="N132" s="5" t="str">
        <x:v>Not demonstrated</x:v>
      </x:c>
      <x:c r="O132" s="5" t="str">
        <x:v>Exact production board/image tests reject altered/unauthorized boot inputs and prove protected trust. Verify: Verify boot firmware/software/configuration authenticity against supplier roots of trust before boot use.</x:v>
      </x:c>
      <x:c r="P132" s="10" t="str"/>
      <x:c r="Q132" s="10" t="str">
        <x:v>Open</x:v>
      </x:c>
      <x:c r="R132" s="10" t="str"/>
      <x:c r="S132" s="10" t="str"/>
      <x:c r="T132" s="10" t="str"/>
      <x:c r="U132" s="5" t="str">
        <x:f>IF(Q132="Closed",IF(AND(R132&lt;&gt;"",S132&lt;&gt;""),"Closed recorded","Missing evidence/reviewer"),IF(Q132="N/A approved",IF(AND(T132&lt;&gt;"",S132&lt;&gt;""),"N/A recorded","Missing applicability approval"),"Open"))</x:f>
        <x:v>Open</x:v>
      </x:c>
      <x:c r="V132" s="5" t="str">
        <x:v>Normativa/IEC 62443-4-2-2019.pdf</x:v>
      </x:c>
      <x:c r="W132" s="5" t="str"/>
    </x:row>
    <x:row r="133" ht="36" customHeight="1">
      <x:c r="A133" s="5" t="str">
        <x:v>COMP-HDR2-4-01</x:v>
      </x:c>
      <x:c r="B133" s="5" t="str">
        <x:v>HDR2.4</x:v>
      </x:c>
      <x:c r="C133" s="5" t="str">
        <x:v>Mobile code</x:v>
      </x:c>
      <x:c r="D133" s="5" t="str">
        <x:v>If mobile code is used, control its execution</x:v>
      </x:c>
      <x:c r="E133" s="5" t="str">
        <x:v>Conditional mandatory</x:v>
      </x:c>
      <x:c r="F133" s="5" t="str">
        <x:v>Component classified as HDR; relevant FR SL-C &gt;= 1; feature conditions apply</x:v>
      </x:c>
      <x:c r="G133" s="5" t="n">
        <x:v>1</x:v>
      </x:c>
      <x:c r="H133" s="5" t="str">
        <x:v>14.2.1</x:v>
      </x:c>
      <x:c r="I133" s="5" t="str">
        <x:v>71-72</x:v>
      </x:c>
      <x:c r="J133" s="5" t="str">
        <x:v>69,70</x:v>
      </x:c>
      <x:c r="K133" s="5" t="str">
        <x:v>apps/ccli/core; apps/ccli/adapters; apps/ccli/CMakeLists.txt; apps/ccli/tests/unit; CI/code-review work required</x:v>
      </x:c>
      <x:c r="L133" s="5" t="str">
        <x:v>HiTEKS firmware lead</x:v>
      </x:c>
      <x:c r="M133" s="5" t="str">
        <x:v>Existing implementation area; requirement acceptance open</x:v>
      </x:c>
      <x:c r="N133" s="5" t="str">
        <x:v>Not demonstrated</x:v>
      </x:c>
      <x:c r="O133" s="5" t="str">
        <x:v>Review record plus reproducible automated analysis/regression results for the frozen source. Verify: If mobile code is used, control its execution.</x:v>
      </x:c>
      <x:c r="P133" s="10" t="str"/>
      <x:c r="Q133" s="10" t="str">
        <x:v>Open</x:v>
      </x:c>
      <x:c r="R133" s="10" t="str"/>
      <x:c r="S133" s="10" t="str"/>
      <x:c r="T133" s="10" t="str"/>
      <x:c r="U133" s="5" t="str">
        <x:f>IF(Q133="Closed",IF(AND(R133&lt;&gt;"",S133&lt;&gt;""),"Closed recorded","Missing evidence/reviewer"),IF(Q133="N/A approved",IF(AND(T133&lt;&gt;"",S133&lt;&gt;""),"N/A recorded","Missing applicability approval"),"Open"))</x:f>
        <x:v>Open</x:v>
      </x:c>
      <x:c r="V133" s="5" t="str">
        <x:v>Normativa/IEC 62443-4-2-2019.pdf</x:v>
      </x:c>
      <x:c r="W133" s="5" t="str">
        <x:v>SAR application and EDR finished-controller scopes are candidates. NDR requires network-device/boundary scope decision. HDR is a separate classification decision, not implied by USB/console presence.</x:v>
      </x:c>
    </x:row>
    <x:row r="134" ht="36" customHeight="1">
      <x:c r="A134" s="5" t="str">
        <x:v>COMP-HDR2-4-02</x:v>
      </x:c>
      <x:c r="B134" s="5" t="str">
        <x:v>HDR2.4</x:v>
      </x:c>
      <x:c r="C134" s="5" t="str">
        <x:v>Mobile code</x:v>
      </x:c>
      <x:c r="D134" s="5" t="str">
        <x:v>Control users allowed to transfer/upload it</x:v>
      </x:c>
      <x:c r="E134" s="5" t="str">
        <x:v>Conditional mandatory</x:v>
      </x:c>
      <x:c r="F134" s="5" t="str">
        <x:v>Component classified as HDR; relevant FR SL-C &gt;= 1; feature conditions apply</x:v>
      </x:c>
      <x:c r="G134" s="5" t="n">
        <x:v>1</x:v>
      </x:c>
      <x:c r="H134" s="5" t="str">
        <x:v>14.2.1</x:v>
      </x:c>
      <x:c r="I134" s="5" t="str">
        <x:v>71-72</x:v>
      </x:c>
      <x:c r="J134" s="5" t="str">
        <x:v>69,70</x:v>
      </x:c>
      <x:c r="K134" s="5" t="str">
        <x:v>apps/ccli/core; apps/ccli/adapters; apps/ccli/CMakeLists.txt; apps/ccli/tests/unit; CI/code-review work required</x:v>
      </x:c>
      <x:c r="L134" s="5" t="str">
        <x:v>HiTEKS firmware lead</x:v>
      </x:c>
      <x:c r="M134" s="5" t="str">
        <x:v>Existing implementation area; requirement acceptance open</x:v>
      </x:c>
      <x:c r="N134" s="5" t="str">
        <x:v>Not demonstrated</x:v>
      </x:c>
      <x:c r="O134" s="5" t="str">
        <x:v>Review record plus reproducible automated analysis/regression results for the frozen source. Verify: Control users allowed to transfer/upload it.</x:v>
      </x:c>
      <x:c r="P134" s="10" t="str"/>
      <x:c r="Q134" s="10" t="str">
        <x:v>Open</x:v>
      </x:c>
      <x:c r="R134" s="10" t="str"/>
      <x:c r="S134" s="10" t="str"/>
      <x:c r="T134" s="10" t="str"/>
      <x:c r="U134" s="5" t="str">
        <x:f>IF(Q134="Closed",IF(AND(R134&lt;&gt;"",S134&lt;&gt;""),"Closed recorded","Missing evidence/reviewer"),IF(Q134="N/A approved",IF(AND(T134&lt;&gt;"",S134&lt;&gt;""),"N/A recorded","Missing applicability approval"),"Open"))</x:f>
        <x:v>Open</x:v>
      </x:c>
      <x:c r="V134" s="5" t="str">
        <x:v>Normativa/IEC 62443-4-2-2019.pdf</x:v>
      </x:c>
      <x:c r="W134" s="5" t="str">
        <x:v>SAR application and EDR finished-controller scopes are candidates. NDR requires network-device/boundary scope decision. HDR is a separate classification decision, not implied by USB/console presence.</x:v>
      </x:c>
    </x:row>
    <x:row r="135" ht="36" customHeight="1">
      <x:c r="A135" s="5" t="str">
        <x:v>COMP-HDR2-4-03</x:v>
      </x:c>
      <x:c r="B135" s="5" t="str">
        <x:v>HDR2.4</x:v>
      </x:c>
      <x:c r="C135" s="5" t="str">
        <x:v>Mobile code</x:v>
      </x:c>
      <x:c r="D135" s="5" t="str">
        <x:v>Verify integrity before executing it</x:v>
      </x:c>
      <x:c r="E135" s="5" t="str">
        <x:v>Conditional mandatory</x:v>
      </x:c>
      <x:c r="F135" s="5" t="str">
        <x:v>Component classified as HDR; relevant FR SL-C &gt;= 1; feature conditions apply</x:v>
      </x:c>
      <x:c r="G135" s="5" t="n">
        <x:v>1</x:v>
      </x:c>
      <x:c r="H135" s="5" t="str">
        <x:v>14.2.1</x:v>
      </x:c>
      <x:c r="I135" s="5" t="str">
        <x:v>71-72</x:v>
      </x:c>
      <x:c r="J135" s="5" t="str">
        <x:v>69,70</x:v>
      </x:c>
      <x:c r="K135" s="5" t="str">
        <x:v>apps/ccli/core; apps/ccli/adapters; apps/ccli/CMakeLists.txt; apps/ccli/tests/unit; CI/code-review work required</x:v>
      </x:c>
      <x:c r="L135" s="5" t="str">
        <x:v>HiTEKS firmware lead</x:v>
      </x:c>
      <x:c r="M135" s="5" t="str">
        <x:v>Existing implementation area; requirement acceptance open</x:v>
      </x:c>
      <x:c r="N135" s="5" t="str">
        <x:v>Not demonstrated</x:v>
      </x:c>
      <x:c r="O135" s="5" t="str">
        <x:v>Review record plus reproducible automated analysis/regression results for the frozen source. Verify: Verify integrity before executing it.</x:v>
      </x:c>
      <x:c r="P135" s="10" t="str"/>
      <x:c r="Q135" s="10" t="str">
        <x:v>Open</x:v>
      </x:c>
      <x:c r="R135" s="10" t="str"/>
      <x:c r="S135" s="10" t="str"/>
      <x:c r="T135" s="10" t="str"/>
      <x:c r="U135" s="5" t="str">
        <x:f>IF(Q135="Closed",IF(AND(R135&lt;&gt;"",S135&lt;&gt;""),"Closed recorded","Missing evidence/reviewer"),IF(Q135="N/A approved",IF(AND(T135&lt;&gt;"",S135&lt;&gt;""),"N/A recorded","Missing applicability approval"),"Open"))</x:f>
        <x:v>Open</x:v>
      </x:c>
      <x:c r="V135" s="5" t="str">
        <x:v>Normativa/IEC 62443-4-2-2019.pdf</x:v>
      </x:c>
      <x:c r="W135" s="5" t="str">
        <x:v>SAR application and EDR finished-controller scopes are candidates. NDR requires network-device/boundary scope decision. HDR is a separate classification decision, not implied by USB/console presence.</x:v>
      </x:c>
    </x:row>
    <x:row r="136" ht="36" customHeight="1">
      <x:c r="A136" s="5" t="str">
        <x:v>COMP-HDR2-4-RE1-01</x:v>
      </x:c>
      <x:c r="B136" s="5" t="str">
        <x:v>HDR2.4-RE1</x:v>
      </x:c>
      <x:c r="C136" s="5" t="str">
        <x:v>Mobile-code authenticity</x:v>
      </x:c>
      <x:c r="D136" s="5" t="str">
        <x:v>Enforce mobile-code authenticity verification before execution</x:v>
      </x:c>
      <x:c r="E136" s="5" t="str">
        <x:v>Conditional mandatory</x:v>
      </x:c>
      <x:c r="F136" s="5" t="str">
        <x:v>HDR component; relevant FR SL-C &gt;= 2; feature conditions apply</x:v>
      </x:c>
      <x:c r="G136" s="5" t="n">
        <x:v>2</x:v>
      </x:c>
      <x:c r="H136" s="5" t="str">
        <x:v>14.2.3</x:v>
      </x:c>
      <x:c r="I136" s="5" t="str">
        <x:v>71-72</x:v>
      </x:c>
      <x:c r="J136" s="5" t="str">
        <x:v>69,70</x:v>
      </x:c>
      <x:c r="K136" s="5" t="str">
        <x:v>apps/ccli/core; apps/ccli/adapters; apps/ccli/CMakeLists.txt; apps/ccli/tests/unit; CI/code-review work required</x:v>
      </x:c>
      <x:c r="L136" s="5" t="str">
        <x:v>HiTEKS firmware lead</x:v>
      </x:c>
      <x:c r="M136" s="5" t="str">
        <x:v>Existing implementation area; requirement acceptance open</x:v>
      </x:c>
      <x:c r="N136" s="5" t="str">
        <x:v>Not demonstrated</x:v>
      </x:c>
      <x:c r="O136" s="5" t="str">
        <x:v>Review record plus reproducible automated analysis/regression results for the frozen source. Verify: Enforce mobile-code authenticity verification before execution.</x:v>
      </x:c>
      <x:c r="P136" s="10" t="str"/>
      <x:c r="Q136" s="10" t="str">
        <x:v>Open</x:v>
      </x:c>
      <x:c r="R136" s="10" t="str"/>
      <x:c r="S136" s="10" t="str"/>
      <x:c r="T136" s="10" t="str"/>
      <x:c r="U136" s="5" t="str">
        <x:f>IF(Q136="Closed",IF(AND(R136&lt;&gt;"",S136&lt;&gt;""),"Closed recorded","Missing evidence/reviewer"),IF(Q136="N/A approved",IF(AND(T136&lt;&gt;"",S136&lt;&gt;""),"N/A recorded","Missing applicability approval"),"Open"))</x:f>
        <x:v>Open</x:v>
      </x:c>
      <x:c r="V136" s="5" t="str">
        <x:v>Normativa/IEC 62443-4-2-2019.pdf</x:v>
      </x:c>
      <x:c r="W136" s="5" t="str"/>
    </x:row>
    <x:row r="137" ht="36" customHeight="1">
      <x:c r="A137" s="5" t="str">
        <x:v>COMP-HDR2-13-01</x:v>
      </x:c>
      <x:c r="B137" s="5" t="str">
        <x:v>HDR2.13</x:v>
      </x:c>
      <x:c r="C137" s="5" t="str">
        <x:v>Physical diagnostic interfaces</x:v>
      </x:c>
      <x:c r="D137" s="5" t="str">
        <x:v>Protect factory diagnostic/test interfaces against unauthorized use</x:v>
      </x:c>
      <x:c r="E137" s="5" t="str">
        <x:v>Conditional mandatory</x:v>
      </x:c>
      <x:c r="F137" s="5" t="str">
        <x:v>Component classified as HDR; relevant FR SL-C &gt;= 2; feature conditions apply</x:v>
      </x:c>
      <x:c r="G137" s="5" t="n">
        <x:v>2</x:v>
      </x:c>
      <x:c r="H137" s="5" t="str">
        <x:v>14.3.1</x:v>
      </x:c>
      <x:c r="I137" s="5" t="str">
        <x:v>72-73</x:v>
      </x:c>
      <x:c r="J137" s="5" t="str">
        <x:v>70,71</x:v>
      </x:c>
      <x:c r="K137" s="5" t="str">
        <x:v>Tespro BootROM/bootloader/rootfs/recovery and fuse policy; apps/firmware-updater public TPM trust is not a complete boot chain</x:v>
      </x:c>
      <x:c r="L137" s="5" t="str">
        <x:v>Tespro platform + HiTEKS acceptance</x:v>
      </x:c>
      <x:c r="M137" s="5" t="str">
        <x:v>Not demonstrated</x:v>
      </x:c>
      <x:c r="N137" s="5" t="str">
        <x:v>Not demonstrated</x:v>
      </x:c>
      <x:c r="O137" s="5" t="str">
        <x:v>Exact production board/image tests reject altered/unauthorized boot inputs and prove protected trust. Verify: Protect factory diagnostic/test interfaces against unauthorized use.</x:v>
      </x:c>
      <x:c r="P137" s="10" t="str"/>
      <x:c r="Q137" s="10" t="str">
        <x:v>Open</x:v>
      </x:c>
      <x:c r="R137" s="10" t="str"/>
      <x:c r="S137" s="10" t="str"/>
      <x:c r="T137" s="10" t="str"/>
      <x:c r="U137" s="5" t="str">
        <x:f>IF(Q137="Closed",IF(AND(R137&lt;&gt;"",S137&lt;&gt;""),"Closed recorded","Missing evidence/reviewer"),IF(Q137="N/A approved",IF(AND(T137&lt;&gt;"",S137&lt;&gt;""),"N/A recorded","Missing applicability approval"),"Open"))</x:f>
        <x:v>Open</x:v>
      </x:c>
      <x:c r="V137" s="5" t="str">
        <x:v>Normativa/IEC 62443-4-2-2019.pdf</x:v>
      </x:c>
      <x:c r="W137" s="5" t="str">
        <x:v>SAR application and EDR finished-controller scopes are candidates. NDR requires network-device/boundary scope decision. HDR is a separate classification decision, not implied by USB/console presence.</x:v>
      </x:c>
    </x:row>
    <x:row r="138" ht="47" customHeight="1">
      <x:c r="A138" s="5" t="str">
        <x:v>COMP-HDR2-13-02</x:v>
      </x:c>
      <x:c r="B138" s="5" t="str">
        <x:v>HDR2.13</x:v>
      </x:c>
      <x:c r="C138" s="5" t="str">
        <x:v>Physical diagnostic interfaces</x:v>
      </x:c>
      <x:c r="D138" s="5" t="str">
        <x:v>Determine by threat/risk assessment any exception for interfaces unable to control the host or access non-public information</x:v>
      </x:c>
      <x:c r="E138" s="5" t="str">
        <x:v>Conditional mandatory</x:v>
      </x:c>
      <x:c r="F138" s="5" t="str">
        <x:v>Component classified as HDR; relevant FR SL-C &gt;= 2; feature conditions apply</x:v>
      </x:c>
      <x:c r="G138" s="5" t="n">
        <x:v>2</x:v>
      </x:c>
      <x:c r="H138" s="5" t="str">
        <x:v>14.3.1</x:v>
      </x:c>
      <x:c r="I138" s="5" t="str">
        <x:v>72-73</x:v>
      </x:c>
      <x:c r="J138" s="5" t="str">
        <x:v>70,71</x:v>
      </x:c>
      <x:c r="K138" s="5" t="str">
        <x:v>Tespro BootROM/bootloader/rootfs/recovery and fuse policy; apps/firmware-updater public TPM trust is not a complete boot chain</x:v>
      </x:c>
      <x:c r="L138" s="5" t="str">
        <x:v>Tespro platform + HiTEKS acceptance</x:v>
      </x:c>
      <x:c r="M138" s="5" t="str">
        <x:v>Not demonstrated</x:v>
      </x:c>
      <x:c r="N138" s="5" t="str">
        <x:v>Not demonstrated</x:v>
      </x:c>
      <x:c r="O138" s="5" t="str">
        <x:v>Exact production board/image tests reject altered/unauthorized boot inputs and prove protected trust. Verify: Determine by threat/risk assessment any exception for interfaces unable to control the host or access non-public information.</x:v>
      </x:c>
      <x:c r="P138" s="10" t="str"/>
      <x:c r="Q138" s="10" t="str">
        <x:v>Open</x:v>
      </x:c>
      <x:c r="R138" s="10" t="str"/>
      <x:c r="S138" s="10" t="str"/>
      <x:c r="T138" s="10" t="str"/>
      <x:c r="U138" s="5" t="str">
        <x:f>IF(Q138="Closed",IF(AND(R138&lt;&gt;"",S138&lt;&gt;""),"Closed recorded","Missing evidence/reviewer"),IF(Q138="N/A approved",IF(AND(T138&lt;&gt;"",S138&lt;&gt;""),"N/A recorded","Missing applicability approval"),"Open"))</x:f>
        <x:v>Open</x:v>
      </x:c>
      <x:c r="V138" s="5" t="str">
        <x:v>Normativa/IEC 62443-4-2-2019.pdf</x:v>
      </x:c>
      <x:c r="W138" s="5" t="str">
        <x:v>SAR application and EDR finished-controller scopes are candidates. NDR requires network-device/boundary scope decision. HDR is a separate classification decision, not implied by USB/console presence.</x:v>
      </x:c>
    </x:row>
    <x:row r="139" ht="36" customHeight="1">
      <x:c r="A139" s="5" t="str">
        <x:v>COMP-HDR2-13-RE1-01</x:v>
      </x:c>
      <x:c r="B139" s="5" t="str">
        <x:v>HDR2.13-RE1</x:v>
      </x:c>
      <x:c r="C139" s="5" t="str">
        <x:v>Diagnostic monitoring</x:v>
      </x:c>
      <x:c r="D139" s="5" t="str">
        <x:v>Actively monitor diagnostic/test access attempts</x:v>
      </x:c>
      <x:c r="E139" s="5" t="str">
        <x:v>Conditional mandatory</x:v>
      </x:c>
      <x:c r="F139" s="5" t="str">
        <x:v>HDR component; relevant FR SL-C &gt;= 3; feature conditions apply</x:v>
      </x:c>
      <x:c r="G139" s="5" t="n">
        <x:v>3</x:v>
      </x:c>
      <x:c r="H139" s="5" t="str">
        <x:v>14.3.3</x:v>
      </x:c>
      <x:c r="I139" s="5" t="str">
        <x:v>72-73</x:v>
      </x:c>
      <x:c r="J139" s="5" t="str">
        <x:v>70,71</x:v>
      </x:c>
      <x:c r="K139" s="5" t="str">
        <x:v>Tespro BootROM/bootloader/rootfs/recovery and fuse policy; apps/firmware-updater public TPM trust is not a complete boot chain</x:v>
      </x:c>
      <x:c r="L139" s="5" t="str">
        <x:v>Tespro platform + HiTEKS acceptance</x:v>
      </x:c>
      <x:c r="M139" s="5" t="str">
        <x:v>Not demonstrated</x:v>
      </x:c>
      <x:c r="N139" s="5" t="str">
        <x:v>Not demonstrated</x:v>
      </x:c>
      <x:c r="O139" s="5" t="str">
        <x:v>Exact production board/image tests reject altered/unauthorized boot inputs and prove protected trust. Verify: Actively monitor diagnostic/test access attempts.</x:v>
      </x:c>
      <x:c r="P139" s="10" t="str"/>
      <x:c r="Q139" s="10" t="str">
        <x:v>Open</x:v>
      </x:c>
      <x:c r="R139" s="10" t="str"/>
      <x:c r="S139" s="10" t="str"/>
      <x:c r="T139" s="10" t="str"/>
      <x:c r="U139" s="5" t="str">
        <x:f>IF(Q139="Closed",IF(AND(R139&lt;&gt;"",S139&lt;&gt;""),"Closed recorded","Missing evidence/reviewer"),IF(Q139="N/A approved",IF(AND(T139&lt;&gt;"",S139&lt;&gt;""),"N/A recorded","Missing applicability approval"),"Open"))</x:f>
        <x:v>Open</x:v>
      </x:c>
      <x:c r="V139" s="5" t="str">
        <x:v>Normativa/IEC 62443-4-2-2019.pdf</x:v>
      </x:c>
      <x:c r="W139" s="5" t="str"/>
    </x:row>
    <x:row r="140" ht="36" customHeight="1">
      <x:c r="A140" s="5" t="str">
        <x:v>COMP-HDR2-13-RE1-02</x:v>
      </x:c>
      <x:c r="B140" s="5" t="str">
        <x:v>HDR2.13-RE1</x:v>
      </x:c>
      <x:c r="C140" s="5" t="str">
        <x:v>Diagnostic monitoring</x:v>
      </x:c>
      <x:c r="D140" s="5" t="str">
        <x:v>Record attempts in the audit log</x:v>
      </x:c>
      <x:c r="E140" s="5" t="str">
        <x:v>Conditional mandatory</x:v>
      </x:c>
      <x:c r="F140" s="5" t="str">
        <x:v>HDR component; relevant FR SL-C &gt;= 3; feature conditions apply</x:v>
      </x:c>
      <x:c r="G140" s="5" t="n">
        <x:v>3</x:v>
      </x:c>
      <x:c r="H140" s="5" t="str">
        <x:v>14.3.3</x:v>
      </x:c>
      <x:c r="I140" s="5" t="str">
        <x:v>72-73</x:v>
      </x:c>
      <x:c r="J140" s="5" t="str">
        <x:v>70,71</x:v>
      </x:c>
      <x:c r="K140" s="5" t="str">
        <x:v>Tespro BootROM/bootloader/rootfs/recovery and fuse policy; apps/firmware-updater public TPM trust is not a complete boot chain</x:v>
      </x:c>
      <x:c r="L140" s="5" t="str">
        <x:v>Tespro platform + HiTEKS acceptance</x:v>
      </x:c>
      <x:c r="M140" s="5" t="str">
        <x:v>Not demonstrated</x:v>
      </x:c>
      <x:c r="N140" s="5" t="str">
        <x:v>Not demonstrated</x:v>
      </x:c>
      <x:c r="O140" s="5" t="str">
        <x:v>Exact production board/image tests reject altered/unauthorized boot inputs and prove protected trust. Verify: Record attempts in the audit log.</x:v>
      </x:c>
      <x:c r="P140" s="10" t="str"/>
      <x:c r="Q140" s="10" t="str">
        <x:v>Open</x:v>
      </x:c>
      <x:c r="R140" s="10" t="str"/>
      <x:c r="S140" s="10" t="str"/>
      <x:c r="T140" s="10" t="str"/>
      <x:c r="U140" s="5" t="str">
        <x:f>IF(Q140="Closed",IF(AND(R140&lt;&gt;"",S140&lt;&gt;""),"Closed recorded","Missing evidence/reviewer"),IF(Q140="N/A approved",IF(AND(T140&lt;&gt;"",S140&lt;&gt;""),"N/A recorded","Missing applicability approval"),"Open"))</x:f>
        <x:v>Open</x:v>
      </x:c>
      <x:c r="V140" s="5" t="str">
        <x:v>Normativa/IEC 62443-4-2-2019.pdf</x:v>
      </x:c>
      <x:c r="W140" s="5" t="str"/>
    </x:row>
    <x:row r="141" ht="36" customHeight="1">
      <x:c r="A141" s="5" t="str">
        <x:v>COMP-HDR3-2-01</x:v>
      </x:c>
      <x:c r="B141" s="5" t="str">
        <x:v>HDR3.2</x:v>
      </x:c>
      <x:c r="C141" s="5" t="str">
        <x:v>Malicious-code protection</x:v>
      </x:c>
      <x:c r="D141" s="5" t="str">
        <x:v>Provide malicious-code protection qualified by the IACS product supplier</x:v>
      </x:c>
      <x:c r="E141" s="5" t="str">
        <x:v>Conditional mandatory</x:v>
      </x:c>
      <x:c r="F141" s="5" t="str">
        <x:v>Component classified as HDR; relevant FR SL-C &gt;= 1; feature conditions apply</x:v>
      </x:c>
      <x:c r="G141" s="5" t="n">
        <x:v>1</x:v>
      </x:c>
      <x:c r="H141" s="5" t="str">
        <x:v>14.4.1</x:v>
      </x:c>
      <x:c r="I141" s="5" t="str">
        <x:v>73</x:v>
      </x:c>
      <x:c r="J141" s="5" t="str">
        <x:v>71</x:v>
      </x:c>
      <x:c r="K141" s="5" t="str">
        <x:v>Tespro BootROM/bootloader/rootfs/recovery and fuse policy; apps/firmware-updater public TPM trust is not a complete boot chain</x:v>
      </x:c>
      <x:c r="L141" s="5" t="str">
        <x:v>Tespro platform + HiTEKS acceptance</x:v>
      </x:c>
      <x:c r="M141" s="5" t="str">
        <x:v>Not demonstrated</x:v>
      </x:c>
      <x:c r="N141" s="5" t="str">
        <x:v>Not demonstrated</x:v>
      </x:c>
      <x:c r="O141" s="5" t="str">
        <x:v>Exact production board/image tests reject altered/unauthorized boot inputs and prove protected trust. Verify: Provide malicious-code protection qualified by the IACS product supplier.</x:v>
      </x:c>
      <x:c r="P141" s="10" t="str"/>
      <x:c r="Q141" s="10" t="str">
        <x:v>Open</x:v>
      </x:c>
      <x:c r="R141" s="10" t="str"/>
      <x:c r="S141" s="10" t="str"/>
      <x:c r="T141" s="10" t="str"/>
      <x:c r="U141" s="5" t="str">
        <x:f>IF(Q141="Closed",IF(AND(R141&lt;&gt;"",S141&lt;&gt;""),"Closed recorded","Missing evidence/reviewer"),IF(Q141="N/A approved",IF(AND(T141&lt;&gt;"",S141&lt;&gt;""),"N/A recorded","Missing applicability approval"),"Open"))</x:f>
        <x:v>Open</x:v>
      </x:c>
      <x:c r="V141" s="5" t="str">
        <x:v>Normativa/IEC 62443-4-2-2019.pdf</x:v>
      </x:c>
      <x:c r="W141" s="5" t="str">
        <x:v>SAR application and EDR finished-controller scopes are candidates. NDR requires network-device/boundary scope decision. HDR is a separate classification decision, not implied by USB/console presence.</x:v>
      </x:c>
    </x:row>
    <x:row r="142" ht="36" customHeight="1">
      <x:c r="A142" s="5" t="str">
        <x:v>COMP-HDR3-2-02</x:v>
      </x:c>
      <x:c r="B142" s="5" t="str">
        <x:v>HDR3.2</x:v>
      </x:c>
      <x:c r="C142" s="5" t="str">
        <x:v>Malicious-code protection</x:v>
      </x:c>
      <x:c r="D142" s="5" t="str">
        <x:v>Document special protection configuration requirements</x:v>
      </x:c>
      <x:c r="E142" s="5" t="str">
        <x:v>Conditional mandatory</x:v>
      </x:c>
      <x:c r="F142" s="5" t="str">
        <x:v>Component classified as HDR; relevant FR SL-C &gt;= 1; feature conditions apply</x:v>
      </x:c>
      <x:c r="G142" s="5" t="n">
        <x:v>1</x:v>
      </x:c>
      <x:c r="H142" s="5" t="str">
        <x:v>14.4.1</x:v>
      </x:c>
      <x:c r="I142" s="5" t="str">
        <x:v>73</x:v>
      </x:c>
      <x:c r="J142" s="5" t="str">
        <x:v>71</x:v>
      </x:c>
      <x:c r="K142" s="5" t="str">
        <x:v>Tespro BootROM/bootloader/rootfs/recovery and fuse policy; apps/firmware-updater public TPM trust is not a complete boot chain</x:v>
      </x:c>
      <x:c r="L142" s="5" t="str">
        <x:v>Tespro platform + HiTEKS acceptance</x:v>
      </x:c>
      <x:c r="M142" s="5" t="str">
        <x:v>Not demonstrated</x:v>
      </x:c>
      <x:c r="N142" s="5" t="str">
        <x:v>Not demonstrated</x:v>
      </x:c>
      <x:c r="O142" s="5" t="str">
        <x:v>Exact production board/image tests reject altered/unauthorized boot inputs and prove protected trust. Verify: Document special protection configuration requirements.</x:v>
      </x:c>
      <x:c r="P142" s="10" t="str"/>
      <x:c r="Q142" s="10" t="str">
        <x:v>Open</x:v>
      </x:c>
      <x:c r="R142" s="10" t="str"/>
      <x:c r="S142" s="10" t="str"/>
      <x:c r="T142" s="10" t="str"/>
      <x:c r="U142" s="5" t="str">
        <x:f>IF(Q142="Closed",IF(AND(R142&lt;&gt;"",S142&lt;&gt;""),"Closed recorded","Missing evidence/reviewer"),IF(Q142="N/A approved",IF(AND(T142&lt;&gt;"",S142&lt;&gt;""),"N/A recorded","Missing applicability approval"),"Open"))</x:f>
        <x:v>Open</x:v>
      </x:c>
      <x:c r="V142" s="5" t="str">
        <x:v>Normativa/IEC 62443-4-2-2019.pdf</x:v>
      </x:c>
      <x:c r="W142" s="5" t="str">
        <x:v>SAR application and EDR finished-controller scopes are candidates. NDR requires network-device/boundary scope decision. HDR is a separate classification decision, not implied by USB/console presence.</x:v>
      </x:c>
    </x:row>
    <x:row r="143" ht="36" customHeight="1">
      <x:c r="A143" s="5" t="str">
        <x:v>COMP-HDR3-2-RE1-01</x:v>
      </x:c>
      <x:c r="B143" s="5" t="str">
        <x:v>HDR3.2-RE1</x:v>
      </x:c>
      <x:c r="C143" s="5" t="str">
        <x:v>Protection version reporting</x:v>
      </x:c>
      <x:c r="D143" s="5" t="str">
        <x:v>Automatically log software/file versions of malicious-code protection in use</x:v>
      </x:c>
      <x:c r="E143" s="5" t="str">
        <x:v>Conditional mandatory</x:v>
      </x:c>
      <x:c r="F143" s="5" t="str">
        <x:v>HDR component; relevant FR SL-C &gt;= 2; feature conditions apply</x:v>
      </x:c>
      <x:c r="G143" s="5" t="n">
        <x:v>2</x:v>
      </x:c>
      <x:c r="H143" s="5" t="str">
        <x:v>14.4.3</x:v>
      </x:c>
      <x:c r="I143" s="5" t="str">
        <x:v>73</x:v>
      </x:c>
      <x:c r="J143" s="5" t="str">
        <x:v>71</x:v>
      </x:c>
      <x:c r="K143" s="5" t="str">
        <x:v>Tespro BootROM/bootloader/rootfs/recovery and fuse policy; apps/firmware-updater public TPM trust is not a complete boot chain</x:v>
      </x:c>
      <x:c r="L143" s="5" t="str">
        <x:v>Tespro platform + HiTEKS acceptance</x:v>
      </x:c>
      <x:c r="M143" s="5" t="str">
        <x:v>Not demonstrated</x:v>
      </x:c>
      <x:c r="N143" s="5" t="str">
        <x:v>Not demonstrated</x:v>
      </x:c>
      <x:c r="O143" s="5" t="str">
        <x:v>Exact production board/image tests reject altered/unauthorized boot inputs and prove protected trust. Verify: Automatically log software/file versions of malicious-code protection in use.</x:v>
      </x:c>
      <x:c r="P143" s="10" t="str"/>
      <x:c r="Q143" s="10" t="str">
        <x:v>Open</x:v>
      </x:c>
      <x:c r="R143" s="10" t="str"/>
      <x:c r="S143" s="10" t="str"/>
      <x:c r="T143" s="10" t="str"/>
      <x:c r="U143" s="5" t="str">
        <x:f>IF(Q143="Closed",IF(AND(R143&lt;&gt;"",S143&lt;&gt;""),"Closed recorded","Missing evidence/reviewer"),IF(Q143="N/A approved",IF(AND(T143&lt;&gt;"",S143&lt;&gt;""),"N/A recorded","Missing applicability approval"),"Open"))</x:f>
        <x:v>Open</x:v>
      </x:c>
      <x:c r="V143" s="5" t="str">
        <x:v>Normativa/IEC 62443-4-2-2019.pdf</x:v>
      </x:c>
      <x:c r="W143" s="5" t="str"/>
    </x:row>
    <x:row r="144" ht="36" customHeight="1">
      <x:c r="A144" s="5" t="str">
        <x:v>COMP-HDR3-10-01</x:v>
      </x:c>
      <x:c r="B144" s="5" t="str">
        <x:v>HDR3.10</x:v>
      </x:c>
      <x:c r="C144" s="5" t="str">
        <x:v>Update support</x:v>
      </x:c>
      <x:c r="D144" s="5" t="str">
        <x:v>Support updates and upgrades</x:v>
      </x:c>
      <x:c r="E144" s="5" t="str">
        <x:v>Conditional mandatory</x:v>
      </x:c>
      <x:c r="F144" s="5" t="str">
        <x:v>Component classified as HDR; relevant FR SL-C &gt;= 1; feature conditions apply</x:v>
      </x:c>
      <x:c r="G144" s="5" t="n">
        <x:v>1</x:v>
      </x:c>
      <x:c r="H144" s="5" t="str">
        <x:v>14.5.1</x:v>
      </x:c>
      <x:c r="I144" s="5" t="str">
        <x:v>73-74</x:v>
      </x:c>
      <x:c r="J144" s="5" t="str">
        <x:v>71,72</x:v>
      </x:c>
      <x:c r="K144" s="5" t="str">
        <x:v>apps/firmware-updater/src/firmware_updater.cpp; docs/SIGNING_AND_USB_UPDATES.md; package/ccli/Makefile</x:v>
      </x:c>
      <x:c r="L144" s="5" t="str">
        <x:v>HiTEKS release/security lead</x:v>
      </x:c>
      <x:c r="M144" s="5" t="str">
        <x:v>Existing implementation area; requirement acceptance open</x:v>
      </x:c>
      <x:c r="N144" s="5" t="str">
        <x:v>Canonical firmware-updater absent at reviewed GitHub main; verify alternative mechanism</x:v>
      </x:c>
      <x:c r="O144" s="5" t="str">
        <x:v>Signed USB installation and negative signature/replay tests for exact release; verify failure and recovery. Verify: Support updates and upgrades.</x:v>
      </x:c>
      <x:c r="P144" s="10" t="str"/>
      <x:c r="Q144" s="10" t="str">
        <x:v>Open</x:v>
      </x:c>
      <x:c r="R144" s="10" t="str"/>
      <x:c r="S144" s="10" t="str"/>
      <x:c r="T144" s="10" t="str"/>
      <x:c r="U144" s="5" t="str">
        <x:f>IF(Q144="Closed",IF(AND(R144&lt;&gt;"",S144&lt;&gt;""),"Closed recorded","Missing evidence/reviewer"),IF(Q144="N/A approved",IF(AND(T144&lt;&gt;"",S144&lt;&gt;""),"N/A recorded","Missing applicability approval"),"Open"))</x:f>
        <x:v>Open</x:v>
      </x:c>
      <x:c r="V144" s="5" t="str">
        <x:v>Normativa/IEC 62443-4-2-2019.pdf</x:v>
      </x:c>
      <x:c r="W144" s="5" t="str">
        <x:v>SAR application and EDR finished-controller scopes are candidates. NDR requires network-device/boundary scope decision. HDR is a separate classification decision, not implied by USB/console presence.</x:v>
      </x:c>
    </x:row>
    <x:row r="145" ht="36" customHeight="1">
      <x:c r="A145" s="5" t="str">
        <x:v>COMP-HDR3-10-RE1-01</x:v>
      </x:c>
      <x:c r="B145" s="5" t="str">
        <x:v>HDR3.10-RE1</x:v>
      </x:c>
      <x:c r="C145" s="5" t="str">
        <x:v>Update authenticity/integrity</x:v>
      </x:c>
      <x:c r="D145" s="5" t="str">
        <x:v>Validate authenticity and integrity of every software update/upgrade before installation</x:v>
      </x:c>
      <x:c r="E145" s="5" t="str">
        <x:v>Conditional mandatory</x:v>
      </x:c>
      <x:c r="F145" s="5" t="str">
        <x:v>HDR component; relevant FR SL-C &gt;= 2; feature conditions apply</x:v>
      </x:c>
      <x:c r="G145" s="5" t="n">
        <x:v>2</x:v>
      </x:c>
      <x:c r="H145" s="5" t="str">
        <x:v>14.5.3</x:v>
      </x:c>
      <x:c r="I145" s="5" t="str">
        <x:v>73-74</x:v>
      </x:c>
      <x:c r="J145" s="5" t="str">
        <x:v>71,72</x:v>
      </x:c>
      <x:c r="K145" s="5" t="str">
        <x:v>apps/firmware-updater/src/firmware_updater.cpp; docs/SIGNING_AND_USB_UPDATES.md; package/ccli/Makefile</x:v>
      </x:c>
      <x:c r="L145" s="5" t="str">
        <x:v>HiTEKS release/security lead</x:v>
      </x:c>
      <x:c r="M145" s="5" t="str">
        <x:v>Existing implementation area; requirement acceptance open</x:v>
      </x:c>
      <x:c r="N145" s="5" t="str">
        <x:v>Canonical firmware-updater absent at reviewed GitHub main; verify alternative mechanism</x:v>
      </x:c>
      <x:c r="O145" s="5" t="str">
        <x:v>Signed USB installation and negative signature/replay tests for exact release; verify failure and recovery. Verify: Validate authenticity and integrity of every software update/upgrade before installation.</x:v>
      </x:c>
      <x:c r="P145" s="10" t="str"/>
      <x:c r="Q145" s="10" t="str">
        <x:v>Open</x:v>
      </x:c>
      <x:c r="R145" s="10" t="str"/>
      <x:c r="S145" s="10" t="str"/>
      <x:c r="T145" s="10" t="str"/>
      <x:c r="U145" s="5" t="str">
        <x:f>IF(Q145="Closed",IF(AND(R145&lt;&gt;"",S145&lt;&gt;""),"Closed recorded","Missing evidence/reviewer"),IF(Q145="N/A approved",IF(AND(T145&lt;&gt;"",S145&lt;&gt;""),"N/A recorded","Missing applicability approval"),"Open"))</x:f>
        <x:v>Open</x:v>
      </x:c>
      <x:c r="V145" s="5" t="str">
        <x:v>Normativa/IEC 62443-4-2-2019.pdf</x:v>
      </x:c>
      <x:c r="W145" s="5" t="str"/>
    </x:row>
    <x:row r="146" ht="36" customHeight="1">
      <x:c r="A146" s="5" t="str">
        <x:v>COMP-HDR3-11-01</x:v>
      </x:c>
      <x:c r="B146" s="5" t="str">
        <x:v>HDR3.11</x:v>
      </x:c>
      <x:c r="C146" s="5" t="str">
        <x:v>Physical tamper protection</x:v>
      </x:c>
      <x:c r="D146" s="5" t="str">
        <x:v>Provide physical tamper resistance and detection mechanisms</x:v>
      </x:c>
      <x:c r="E146" s="5" t="str">
        <x:v>Conditional mandatory</x:v>
      </x:c>
      <x:c r="F146" s="5" t="str">
        <x:v>Component classified as HDR; relevant FR SL-C &gt;= 2; feature conditions apply</x:v>
      </x:c>
      <x:c r="G146" s="5" t="n">
        <x:v>2</x:v>
      </x:c>
      <x:c r="H146" s="5" t="str">
        <x:v>14.6.1</x:v>
      </x:c>
      <x:c r="I146" s="5" t="str">
        <x:v>74</x:v>
      </x:c>
      <x:c r="J146" s="5" t="str">
        <x:v>72</x:v>
      </x:c>
      <x:c r="K146" s="5" t="str">
        <x:v>Tespro BootROM/bootloader/rootfs/recovery and fuse policy; apps/firmware-updater public TPM trust is not a complete boot chain</x:v>
      </x:c>
      <x:c r="L146" s="5" t="str">
        <x:v>Tespro platform + HiTEKS acceptance</x:v>
      </x:c>
      <x:c r="M146" s="5" t="str">
        <x:v>Not demonstrated</x:v>
      </x:c>
      <x:c r="N146" s="5" t="str">
        <x:v>Not demonstrated</x:v>
      </x:c>
      <x:c r="O146" s="5" t="str">
        <x:v>Exact production board/image tests reject altered/unauthorized boot inputs and prove protected trust. Verify: Provide physical tamper resistance and detection mechanisms.</x:v>
      </x:c>
      <x:c r="P146" s="10" t="str"/>
      <x:c r="Q146" s="10" t="str">
        <x:v>Open</x:v>
      </x:c>
      <x:c r="R146" s="10" t="str"/>
      <x:c r="S146" s="10" t="str"/>
      <x:c r="T146" s="10" t="str"/>
      <x:c r="U146" s="5" t="str">
        <x:f>IF(Q146="Closed",IF(AND(R146&lt;&gt;"",S146&lt;&gt;""),"Closed recorded","Missing evidence/reviewer"),IF(Q146="N/A approved",IF(AND(T146&lt;&gt;"",S146&lt;&gt;""),"N/A recorded","Missing applicability approval"),"Open"))</x:f>
        <x:v>Open</x:v>
      </x:c>
      <x:c r="V146" s="5" t="str">
        <x:v>Normativa/IEC 62443-4-2-2019.pdf</x:v>
      </x:c>
      <x:c r="W146" s="5" t="str">
        <x:v>SAR application and EDR finished-controller scopes are candidates. NDR requires network-device/boundary scope decision. HDR is a separate classification decision, not implied by USB/console presence.</x:v>
      </x:c>
    </x:row>
    <x:row r="147" ht="36" customHeight="1">
      <x:c r="A147" s="5" t="str">
        <x:v>COMP-HDR3-11-RE1-01</x:v>
      </x:c>
      <x:c r="B147" s="5" t="str">
        <x:v>HDR3.11-RE1</x:v>
      </x:c>
      <x:c r="C147" s="5" t="str">
        <x:v>Tamper notification</x:v>
      </x:c>
      <x:c r="D147" s="5" t="str">
        <x:v>Notify configurable recipients of detected unauthorized physical-access attempts</x:v>
      </x:c>
      <x:c r="E147" s="5" t="str">
        <x:v>Conditional mandatory</x:v>
      </x:c>
      <x:c r="F147" s="5" t="str">
        <x:v>HDR component; relevant FR SL-C &gt;= 3; feature conditions apply</x:v>
      </x:c>
      <x:c r="G147" s="5" t="n">
        <x:v>3</x:v>
      </x:c>
      <x:c r="H147" s="5" t="str">
        <x:v>14.6.3</x:v>
      </x:c>
      <x:c r="I147" s="5" t="str">
        <x:v>74</x:v>
      </x:c>
      <x:c r="J147" s="5" t="str">
        <x:v>72</x:v>
      </x:c>
      <x:c r="K147" s="5" t="str">
        <x:v>Tespro BootROM/bootloader/rootfs/recovery and fuse policy; apps/firmware-updater public TPM trust is not a complete boot chain</x:v>
      </x:c>
      <x:c r="L147" s="5" t="str">
        <x:v>Tespro platform + HiTEKS acceptance</x:v>
      </x:c>
      <x:c r="M147" s="5" t="str">
        <x:v>Not demonstrated</x:v>
      </x:c>
      <x:c r="N147" s="5" t="str">
        <x:v>Not demonstrated</x:v>
      </x:c>
      <x:c r="O147" s="5" t="str">
        <x:v>Exact production board/image tests reject altered/unauthorized boot inputs and prove protected trust. Verify: Notify configurable recipients of detected unauthorized physical-access attempts.</x:v>
      </x:c>
      <x:c r="P147" s="10" t="str"/>
      <x:c r="Q147" s="10" t="str">
        <x:v>Open</x:v>
      </x:c>
      <x:c r="R147" s="10" t="str"/>
      <x:c r="S147" s="10" t="str"/>
      <x:c r="T147" s="10" t="str"/>
      <x:c r="U147" s="5" t="str">
        <x:f>IF(Q147="Closed",IF(AND(R147&lt;&gt;"",S147&lt;&gt;""),"Closed recorded","Missing evidence/reviewer"),IF(Q147="N/A approved",IF(AND(T147&lt;&gt;"",S147&lt;&gt;""),"N/A recorded","Missing applicability approval"),"Open"))</x:f>
        <x:v>Open</x:v>
      </x:c>
      <x:c r="V147" s="5" t="str">
        <x:v>Normativa/IEC 62443-4-2-2019.pdf</x:v>
      </x:c>
      <x:c r="W147" s="5" t="str"/>
    </x:row>
    <x:row r="148" ht="36" customHeight="1">
      <x:c r="A148" s="5" t="str">
        <x:v>COMP-HDR3-11-RE1-02</x:v>
      </x:c>
      <x:c r="B148" s="5" t="str">
        <x:v>HDR3.11-RE1</x:v>
      </x:c>
      <x:c r="C148" s="5" t="str">
        <x:v>Tamper notification</x:v>
      </x:c>
      <x:c r="D148" s="5" t="str">
        <x:v>Log all tamper notifications</x:v>
      </x:c>
      <x:c r="E148" s="5" t="str">
        <x:v>Conditional mandatory</x:v>
      </x:c>
      <x:c r="F148" s="5" t="str">
        <x:v>HDR component; relevant FR SL-C &gt;= 3; feature conditions apply</x:v>
      </x:c>
      <x:c r="G148" s="5" t="n">
        <x:v>3</x:v>
      </x:c>
      <x:c r="H148" s="5" t="str">
        <x:v>14.6.3</x:v>
      </x:c>
      <x:c r="I148" s="5" t="str">
        <x:v>74</x:v>
      </x:c>
      <x:c r="J148" s="5" t="str">
        <x:v>72</x:v>
      </x:c>
      <x:c r="K148" s="5" t="str">
        <x:v>Tespro BootROM/bootloader/rootfs/recovery and fuse policy; apps/firmware-updater public TPM trust is not a complete boot chain</x:v>
      </x:c>
      <x:c r="L148" s="5" t="str">
        <x:v>Tespro platform + HiTEKS acceptance</x:v>
      </x:c>
      <x:c r="M148" s="5" t="str">
        <x:v>Not demonstrated</x:v>
      </x:c>
      <x:c r="N148" s="5" t="str">
        <x:v>Not demonstrated</x:v>
      </x:c>
      <x:c r="O148" s="5" t="str">
        <x:v>Exact production board/image tests reject altered/unauthorized boot inputs and prove protected trust. Verify: Log all tamper notifications.</x:v>
      </x:c>
      <x:c r="P148" s="10" t="str"/>
      <x:c r="Q148" s="10" t="str">
        <x:v>Open</x:v>
      </x:c>
      <x:c r="R148" s="10" t="str"/>
      <x:c r="S148" s="10" t="str"/>
      <x:c r="T148" s="10" t="str"/>
      <x:c r="U148" s="5" t="str">
        <x:f>IF(Q148="Closed",IF(AND(R148&lt;&gt;"",S148&lt;&gt;""),"Closed recorded","Missing evidence/reviewer"),IF(Q148="N/A approved",IF(AND(T148&lt;&gt;"",S148&lt;&gt;""),"N/A recorded","Missing applicability approval"),"Open"))</x:f>
        <x:v>Open</x:v>
      </x:c>
      <x:c r="V148" s="5" t="str">
        <x:v>Normativa/IEC 62443-4-2-2019.pdf</x:v>
      </x:c>
      <x:c r="W148" s="5" t="str"/>
    </x:row>
    <x:row r="149" ht="36" customHeight="1">
      <x:c r="A149" s="5" t="str">
        <x:v>COMP-HDR3-12-01</x:v>
      </x:c>
      <x:c r="B149" s="5" t="str">
        <x:v>HDR3.12</x:v>
      </x:c>
      <x:c r="C149" s="5" t="str">
        <x:v>Supplier roots of trust</x:v>
      </x:c>
      <x:c r="D149" s="5" t="str">
        <x:v>Provision and protect supplier keys/data serving as roots of trust at manufacture</x:v>
      </x:c>
      <x:c r="E149" s="5" t="str">
        <x:v>Conditional mandatory</x:v>
      </x:c>
      <x:c r="F149" s="5" t="str">
        <x:v>Component classified as HDR; relevant FR SL-C &gt;= 2; feature conditions apply</x:v>
      </x:c>
      <x:c r="G149" s="5" t="n">
        <x:v>2</x:v>
      </x:c>
      <x:c r="H149" s="5" t="str">
        <x:v>14.7.1</x:v>
      </x:c>
      <x:c r="I149" s="5" t="str">
        <x:v>75</x:v>
      </x:c>
      <x:c r="J149" s="5" t="str">
        <x:v>73</x:v>
      </x:c>
      <x:c r="K149" s="5" t="str">
        <x:v>Tespro BootROM/bootloader/rootfs/recovery and fuse policy; apps/firmware-updater public TPM trust is not a complete boot chain</x:v>
      </x:c>
      <x:c r="L149" s="5" t="str">
        <x:v>Tespro platform + HiTEKS acceptance</x:v>
      </x:c>
      <x:c r="M149" s="5" t="str">
        <x:v>Not demonstrated</x:v>
      </x:c>
      <x:c r="N149" s="5" t="str">
        <x:v>Not demonstrated</x:v>
      </x:c>
      <x:c r="O149" s="5" t="str">
        <x:v>Exact production board/image tests reject altered/unauthorized boot inputs and prove protected trust. Verify: Provision and protect supplier keys/data serving as roots of trust at manufacture.</x:v>
      </x:c>
      <x:c r="P149" s="10" t="str"/>
      <x:c r="Q149" s="10" t="str">
        <x:v>Open</x:v>
      </x:c>
      <x:c r="R149" s="10" t="str"/>
      <x:c r="S149" s="10" t="str"/>
      <x:c r="T149" s="10" t="str"/>
      <x:c r="U149" s="5" t="str">
        <x:f>IF(Q149="Closed",IF(AND(R149&lt;&gt;"",S149&lt;&gt;""),"Closed recorded","Missing evidence/reviewer"),IF(Q149="N/A approved",IF(AND(T149&lt;&gt;"",S149&lt;&gt;""),"N/A recorded","Missing applicability approval"),"Open"))</x:f>
        <x:v>Open</x:v>
      </x:c>
      <x:c r="V149" s="5" t="str">
        <x:v>Normativa/IEC 62443-4-2-2019.pdf</x:v>
      </x:c>
      <x:c r="W149" s="5" t="str">
        <x:v>SAR application and EDR finished-controller scopes are candidates. NDR requires network-device/boundary scope decision. HDR is a separate classification decision, not implied by USB/console presence.</x:v>
      </x:c>
    </x:row>
    <x:row r="150" ht="36" customHeight="1">
      <x:c r="A150" s="5" t="str">
        <x:v>COMP-HDR3-13-01</x:v>
      </x:c>
      <x:c r="B150" s="5" t="str">
        <x:v>HDR3.13</x:v>
      </x:c>
      <x:c r="C150" s="5" t="str">
        <x:v>Owner roots of trust</x:v>
      </x:c>
      <x:c r="D150" s="5" t="str">
        <x:v>Provision and protect asset-owner keys/data serving as roots of trust</x:v>
      </x:c>
      <x:c r="E150" s="5" t="str">
        <x:v>Conditional mandatory</x:v>
      </x:c>
      <x:c r="F150" s="5" t="str">
        <x:v>Component classified as HDR; relevant FR SL-C &gt;= 2; feature conditions apply</x:v>
      </x:c>
      <x:c r="G150" s="5" t="n">
        <x:v>2</x:v>
      </x:c>
      <x:c r="H150" s="5" t="str">
        <x:v>14.8.1</x:v>
      </x:c>
      <x:c r="I150" s="5" t="str">
        <x:v>75-76</x:v>
      </x:c>
      <x:c r="J150" s="5" t="str">
        <x:v>73,74</x:v>
      </x:c>
      <x:c r="K150" s="5" t="str">
        <x:v>Tespro BootROM/bootloader/rootfs/recovery and fuse policy; apps/firmware-updater public TPM trust is not a complete boot chain</x:v>
      </x:c>
      <x:c r="L150" s="5" t="str">
        <x:v>Tespro platform + HiTEKS acceptance</x:v>
      </x:c>
      <x:c r="M150" s="5" t="str">
        <x:v>Not demonstrated</x:v>
      </x:c>
      <x:c r="N150" s="5" t="str">
        <x:v>Not demonstrated</x:v>
      </x:c>
      <x:c r="O150" s="5" t="str">
        <x:v>Exact production board/image tests reject altered/unauthorized boot inputs and prove protected trust. Verify: Provision and protect asset-owner keys/data serving as roots of trust.</x:v>
      </x:c>
      <x:c r="P150" s="10" t="str"/>
      <x:c r="Q150" s="10" t="str">
        <x:v>Open</x:v>
      </x:c>
      <x:c r="R150" s="10" t="str"/>
      <x:c r="S150" s="10" t="str"/>
      <x:c r="T150" s="10" t="str"/>
      <x:c r="U150" s="5" t="str">
        <x:f>IF(Q150="Closed",IF(AND(R150&lt;&gt;"",S150&lt;&gt;""),"Closed recorded","Missing evidence/reviewer"),IF(Q150="N/A approved",IF(AND(T150&lt;&gt;"",S150&lt;&gt;""),"N/A recorded","Missing applicability approval"),"Open"))</x:f>
        <x:v>Open</x:v>
      </x:c>
      <x:c r="V150" s="5" t="str">
        <x:v>Normativa/IEC 62443-4-2-2019.pdf</x:v>
      </x:c>
      <x:c r="W150" s="5" t="str">
        <x:v>SAR application and EDR finished-controller scopes are candidates. NDR requires network-device/boundary scope decision. HDR is a separate classification decision, not implied by USB/console presence.</x:v>
      </x:c>
    </x:row>
    <x:row r="151" ht="36" customHeight="1">
      <x:c r="A151" s="5" t="str">
        <x:v>COMP-HDR3-14-01</x:v>
      </x:c>
      <x:c r="B151" s="5" t="str">
        <x:v>HDR3.14</x:v>
      </x:c>
      <x:c r="C151" s="5" t="str">
        <x:v>Boot integrity</x:v>
      </x:c>
      <x:c r="D151" s="5" t="str">
        <x:v>Verify firmware/software/configuration integrity before boot/runtime use</x:v>
      </x:c>
      <x:c r="E151" s="5" t="str">
        <x:v>Conditional mandatory</x:v>
      </x:c>
      <x:c r="F151" s="5" t="str">
        <x:v>Component classified as HDR; relevant FR SL-C &gt;= 1; feature conditions apply</x:v>
      </x:c>
      <x:c r="G151" s="5" t="n">
        <x:v>1</x:v>
      </x:c>
      <x:c r="H151" s="5" t="str">
        <x:v>14.9.1</x:v>
      </x:c>
      <x:c r="I151" s="5" t="str">
        <x:v>76-77</x:v>
      </x:c>
      <x:c r="J151" s="5" t="str">
        <x:v>74,75</x:v>
      </x:c>
      <x:c r="K151" s="5" t="str">
        <x:v>Tespro BootROM/bootloader/rootfs/recovery and fuse policy; apps/firmware-updater public TPM trust is not a complete boot chain</x:v>
      </x:c>
      <x:c r="L151" s="5" t="str">
        <x:v>Tespro platform + HiTEKS acceptance</x:v>
      </x:c>
      <x:c r="M151" s="5" t="str">
        <x:v>Supplier draft guidance only; enforced production boot chain not demonstrated</x:v>
      </x:c>
      <x:c r="N151" s="5" t="str">
        <x:v>Not demonstrated</x:v>
      </x:c>
      <x:c r="O151" s="5" t="str">
        <x:v>Exact production board/image tests reject altered/unauthorized boot inputs and prove protected trust. Verify: Verify firmware/software/configuration integrity before boot/runtime use.</x:v>
      </x:c>
      <x:c r="P151" s="10" t="str"/>
      <x:c r="Q151" s="10" t="str">
        <x:v>Open</x:v>
      </x:c>
      <x:c r="R151" s="10" t="str"/>
      <x:c r="S151" s="10" t="str"/>
      <x:c r="T151" s="10" t="str"/>
      <x:c r="U151" s="5" t="str">
        <x:f>IF(Q151="Closed",IF(AND(R151&lt;&gt;"",S151&lt;&gt;""),"Closed recorded","Missing evidence/reviewer"),IF(Q151="N/A approved",IF(AND(T151&lt;&gt;"",S151&lt;&gt;""),"N/A recorded","Missing applicability approval"),"Open"))</x:f>
        <x:v>Open</x:v>
      </x:c>
      <x:c r="V151" s="5" t="str">
        <x:v>Normativa/IEC 62443-4-2-2019.pdf</x:v>
      </x:c>
      <x:c r="W151" s="5" t="str">
        <x:v>SAR application and EDR finished-controller scopes are candidates. NDR requires network-device/boundary scope decision. HDR is a separate classification decision, not implied by USB/console presence.</x:v>
      </x:c>
    </x:row>
    <x:row r="152" ht="47" customHeight="1">
      <x:c r="A152" s="5" t="str">
        <x:v>COMP-HDR3-14-RE1-01</x:v>
      </x:c>
      <x:c r="B152" s="5" t="str">
        <x:v>HDR3.14-RE1</x:v>
      </x:c>
      <x:c r="C152" s="5" t="str">
        <x:v>Boot authenticity</x:v>
      </x:c>
      <x:c r="D152" s="5" t="str">
        <x:v>Verify boot firmware/software/configuration authenticity against supplier roots of trust before boot use</x:v>
      </x:c>
      <x:c r="E152" s="5" t="str">
        <x:v>Conditional mandatory</x:v>
      </x:c>
      <x:c r="F152" s="5" t="str">
        <x:v>HDR component; relevant FR SL-C &gt;= 2; feature conditions apply</x:v>
      </x:c>
      <x:c r="G152" s="5" t="n">
        <x:v>2</x:v>
      </x:c>
      <x:c r="H152" s="5" t="str">
        <x:v>14.9.3</x:v>
      </x:c>
      <x:c r="I152" s="5" t="str">
        <x:v>76-77</x:v>
      </x:c>
      <x:c r="J152" s="5" t="str">
        <x:v>74,75</x:v>
      </x:c>
      <x:c r="K152" s="5" t="str">
        <x:v>Tespro BootROM/bootloader/rootfs/recovery and fuse policy; apps/firmware-updater public TPM trust is not a complete boot chain</x:v>
      </x:c>
      <x:c r="L152" s="5" t="str">
        <x:v>Tespro platform + HiTEKS acceptance</x:v>
      </x:c>
      <x:c r="M152" s="5" t="str">
        <x:v>Supplier draft guidance only; enforced production boot chain not demonstrated</x:v>
      </x:c>
      <x:c r="N152" s="5" t="str">
        <x:v>Not demonstrated</x:v>
      </x:c>
      <x:c r="O152" s="5" t="str">
        <x:v>Exact production board/image tests reject altered/unauthorized boot inputs and prove protected trust. Verify: Verify boot firmware/software/configuration authenticity against supplier roots of trust before boot use.</x:v>
      </x:c>
      <x:c r="P152" s="10" t="str"/>
      <x:c r="Q152" s="10" t="str">
        <x:v>Open</x:v>
      </x:c>
      <x:c r="R152" s="10" t="str"/>
      <x:c r="S152" s="10" t="str"/>
      <x:c r="T152" s="10" t="str"/>
      <x:c r="U152" s="5" t="str">
        <x:f>IF(Q152="Closed",IF(AND(R152&lt;&gt;"",S152&lt;&gt;""),"Closed recorded","Missing evidence/reviewer"),IF(Q152="N/A approved",IF(AND(T152&lt;&gt;"",S152&lt;&gt;""),"N/A recorded","Missing applicability approval"),"Open"))</x:f>
        <x:v>Open</x:v>
      </x:c>
      <x:c r="V152" s="5" t="str">
        <x:v>Normativa/IEC 62443-4-2-2019.pdf</x:v>
      </x:c>
      <x:c r="W152" s="5" t="str"/>
    </x:row>
    <x:row r="153" ht="36" customHeight="1">
      <x:c r="A153" s="5" t="str">
        <x:v>COMP-NDR1-6-01</x:v>
      </x:c>
      <x:c r="B153" s="5" t="str">
        <x:v>NDR1.6</x:v>
      </x:c>
      <x:c r="C153" s="5" t="str">
        <x:v>Wireless access authentication</x:v>
      </x:c>
      <x:c r="D153" s="5" t="str">
        <x:v>Identify and authenticate all humans/processes/devices using wireless access</x:v>
      </x:c>
      <x:c r="E153" s="5" t="str">
        <x:v>Conditional mandatory</x:v>
      </x:c>
      <x:c r="F153" s="5" t="str">
        <x:v>Component classified as NDR; relevant FR SL-C &gt;= 1; feature conditions apply</x:v>
      </x:c>
      <x:c r="G153" s="5" t="n">
        <x:v>1</x:v>
      </x:c>
      <x:c r="H153" s="5" t="str">
        <x:v>15.2.1</x:v>
      </x:c>
      <x:c r="I153" s="5" t="str">
        <x:v>77</x:v>
      </x:c>
      <x:c r="J153" s="5" t="str">
        <x:v>75</x:v>
      </x:c>
      <x:c r="K153" s="5" t="str">
        <x:v>OpenWrt UCI/nftables and management listeners; core/policy/net_policy.cpp is a placeholder; effective OS policy is the enforcement point</x:v>
      </x:c>
      <x:c r="L153" s="5" t="str">
        <x:v>Tespro platform + HiTEKS integration</x:v>
      </x:c>
      <x:c r="M153" s="5" t="str">
        <x:v>Not demonstrated</x:v>
      </x:c>
      <x:c r="N153" s="5" t="str">
        <x:v>Not demonstrated</x:v>
      </x:c>
      <x:c r="O153" s="5" t="str">
        <x:v>Inspect effective firewall and test allowed/denied traffic, boot/reload persistence and failure paths. Verify: Identify and authenticate all humans/processes/devices using wireless access.</x:v>
      </x:c>
      <x:c r="P153" s="10" t="str"/>
      <x:c r="Q153" s="10" t="str">
        <x:v>Open</x:v>
      </x:c>
      <x:c r="R153" s="10" t="str"/>
      <x:c r="S153" s="10" t="str"/>
      <x:c r="T153" s="10" t="str"/>
      <x:c r="U153" s="5" t="str">
        <x:f>IF(Q153="Closed",IF(AND(R153&lt;&gt;"",S153&lt;&gt;""),"Closed recorded","Missing evidence/reviewer"),IF(Q153="N/A approved",IF(AND(T153&lt;&gt;"",S153&lt;&gt;""),"N/A recorded","Missing applicability approval"),"Open"))</x:f>
        <x:v>Open</x:v>
      </x:c>
      <x:c r="V153" s="5" t="str">
        <x:v>Normativa/IEC 62443-4-2-2019.pdf</x:v>
      </x:c>
      <x:c r="W153" s="5" t="str">
        <x:v>SAR application and EDR finished-controller scopes are candidates. NDR requires network-device/boundary scope decision. HDR is a separate classification decision, not implied by USB/console presence.</x:v>
      </x:c>
    </x:row>
    <x:row r="154" ht="36" customHeight="1">
      <x:c r="A154" s="5" t="str">
        <x:v>COMP-NDR1-6-RE1-01</x:v>
      </x:c>
      <x:c r="B154" s="5" t="str">
        <x:v>NDR1.6-RE1</x:v>
      </x:c>
      <x:c r="C154" s="5" t="str">
        <x:v>Unique wireless identity</x:v>
      </x:c>
      <x:c r="D154" s="5" t="str">
        <x:v>Uniquely identify and authenticate all wireless users, processes and devices</x:v>
      </x:c>
      <x:c r="E154" s="5" t="str">
        <x:v>Conditional mandatory</x:v>
      </x:c>
      <x:c r="F154" s="5" t="str">
        <x:v>NDR component; relevant FR SL-C &gt;= 2; feature conditions apply</x:v>
      </x:c>
      <x:c r="G154" s="5" t="n">
        <x:v>2</x:v>
      </x:c>
      <x:c r="H154" s="5" t="str">
        <x:v>15.2.3</x:v>
      </x:c>
      <x:c r="I154" s="5" t="str">
        <x:v>77</x:v>
      </x:c>
      <x:c r="J154" s="5" t="str">
        <x:v>75</x:v>
      </x:c>
      <x:c r="K154" s="5" t="str">
        <x:v>OpenWrt UCI/nftables and management listeners; core/policy/net_policy.cpp is a placeholder; effective OS policy is the enforcement point</x:v>
      </x:c>
      <x:c r="L154" s="5" t="str">
        <x:v>Tespro platform + HiTEKS integration</x:v>
      </x:c>
      <x:c r="M154" s="5" t="str">
        <x:v>Not demonstrated</x:v>
      </x:c>
      <x:c r="N154" s="5" t="str">
        <x:v>Not demonstrated</x:v>
      </x:c>
      <x:c r="O154" s="5" t="str">
        <x:v>Inspect effective firewall and test allowed/denied traffic, boot/reload persistence and failure paths. Verify: Uniquely identify and authenticate all wireless users, processes and devices.</x:v>
      </x:c>
      <x:c r="P154" s="10" t="str"/>
      <x:c r="Q154" s="10" t="str">
        <x:v>Open</x:v>
      </x:c>
      <x:c r="R154" s="10" t="str"/>
      <x:c r="S154" s="10" t="str"/>
      <x:c r="T154" s="10" t="str"/>
      <x:c r="U154" s="5" t="str">
        <x:f>IF(Q154="Closed",IF(AND(R154&lt;&gt;"",S154&lt;&gt;""),"Closed recorded","Missing evidence/reviewer"),IF(Q154="N/A approved",IF(AND(T154&lt;&gt;"",S154&lt;&gt;""),"N/A recorded","Missing applicability approval"),"Open"))</x:f>
        <x:v>Open</x:v>
      </x:c>
      <x:c r="V154" s="5" t="str">
        <x:v>Normativa/IEC 62443-4-2-2019.pdf</x:v>
      </x:c>
      <x:c r="W154" s="5" t="str"/>
    </x:row>
    <x:row r="155" ht="36" customHeight="1">
      <x:c r="A155" s="5" t="str">
        <x:v>COMP-NDR1-13-01</x:v>
      </x:c>
      <x:c r="B155" s="5" t="str">
        <x:v>NDR1.13</x:v>
      </x:c>
      <x:c r="C155" s="5" t="str">
        <x:v>Untrusted-network access</x:v>
      </x:c>
      <x:c r="D155" s="5" t="str">
        <x:v>Monitor and control access from untrusted networks</x:v>
      </x:c>
      <x:c r="E155" s="5" t="str">
        <x:v>Conditional mandatory</x:v>
      </x:c>
      <x:c r="F155" s="5" t="str">
        <x:v>Component classified as NDR; relevant FR SL-C &gt;= 1; feature conditions apply</x:v>
      </x:c>
      <x:c r="G155" s="5" t="n">
        <x:v>1</x:v>
      </x:c>
      <x:c r="H155" s="5" t="str">
        <x:v>15.3.1</x:v>
      </x:c>
      <x:c r="I155" s="5" t="str">
        <x:v>77-78</x:v>
      </x:c>
      <x:c r="J155" s="5" t="str">
        <x:v>75,76</x:v>
      </x:c>
      <x:c r="K155" s="5" t="str">
        <x:v>OpenWrt UCI/nftables and management listeners; core/policy/net_policy.cpp is a placeholder; effective OS policy is the enforcement point</x:v>
      </x:c>
      <x:c r="L155" s="5" t="str">
        <x:v>Tespro platform + HiTEKS integration</x:v>
      </x:c>
      <x:c r="M155" s="5" t="str">
        <x:v>Not demonstrated</x:v>
      </x:c>
      <x:c r="N155" s="5" t="str">
        <x:v>Not demonstrated</x:v>
      </x:c>
      <x:c r="O155" s="5" t="str">
        <x:v>Inspect effective firewall and test allowed/denied traffic, boot/reload persistence and failure paths. Verify: Monitor and control access from untrusted networks.</x:v>
      </x:c>
      <x:c r="P155" s="10" t="str"/>
      <x:c r="Q155" s="10" t="str">
        <x:v>Open</x:v>
      </x:c>
      <x:c r="R155" s="10" t="str"/>
      <x:c r="S155" s="10" t="str"/>
      <x:c r="T155" s="10" t="str"/>
      <x:c r="U155" s="5" t="str">
        <x:f>IF(Q155="Closed",IF(AND(R155&lt;&gt;"",S155&lt;&gt;""),"Closed recorded","Missing evidence/reviewer"),IF(Q155="N/A approved",IF(AND(T155&lt;&gt;"",S155&lt;&gt;""),"N/A recorded","Missing applicability approval"),"Open"))</x:f>
        <x:v>Open</x:v>
      </x:c>
      <x:c r="V155" s="5" t="str">
        <x:v>Normativa/IEC 62443-4-2-2019.pdf</x:v>
      </x:c>
      <x:c r="W155" s="5" t="str">
        <x:v>SAR application and EDR finished-controller scopes are candidates. NDR requires network-device/boundary scope decision. HDR is a separate classification decision, not implied by USB/console presence.</x:v>
      </x:c>
    </x:row>
    <x:row r="156" ht="36" customHeight="1">
      <x:c r="A156" s="5" t="str">
        <x:v>COMP-NDR1-13-RE1-01</x:v>
      </x:c>
      <x:c r="B156" s="5" t="str">
        <x:v>NDR1.13-RE1</x:v>
      </x:c>
      <x:c r="C156" s="5" t="str">
        <x:v>Explicit untrusted access approval</x:v>
      </x:c>
      <x:c r="D156" s="5" t="str">
        <x:v>Deny untrusted-network access unless explicitly approved by an assigned role</x:v>
      </x:c>
      <x:c r="E156" s="5" t="str">
        <x:v>Conditional mandatory</x:v>
      </x:c>
      <x:c r="F156" s="5" t="str">
        <x:v>NDR component; relevant FR SL-C &gt;= 3; feature conditions apply</x:v>
      </x:c>
      <x:c r="G156" s="5" t="n">
        <x:v>3</x:v>
      </x:c>
      <x:c r="H156" s="5" t="str">
        <x:v>15.3.3</x:v>
      </x:c>
      <x:c r="I156" s="5" t="str">
        <x:v>77-78</x:v>
      </x:c>
      <x:c r="J156" s="5" t="str">
        <x:v>75,76</x:v>
      </x:c>
      <x:c r="K156" s="5" t="str">
        <x:v>OpenWrt UCI/nftables and management listeners; core/policy/net_policy.cpp is a placeholder; effective OS policy is the enforcement point</x:v>
      </x:c>
      <x:c r="L156" s="5" t="str">
        <x:v>Tespro platform + HiTEKS integration</x:v>
      </x:c>
      <x:c r="M156" s="5" t="str">
        <x:v>Not demonstrated</x:v>
      </x:c>
      <x:c r="N156" s="5" t="str">
        <x:v>Not demonstrated</x:v>
      </x:c>
      <x:c r="O156" s="5" t="str">
        <x:v>Inspect effective firewall and test allowed/denied traffic, boot/reload persistence and failure paths. Verify: Deny untrusted-network access unless explicitly approved by an assigned role.</x:v>
      </x:c>
      <x:c r="P156" s="10" t="str"/>
      <x:c r="Q156" s="10" t="str">
        <x:v>Open</x:v>
      </x:c>
      <x:c r="R156" s="10" t="str"/>
      <x:c r="S156" s="10" t="str"/>
      <x:c r="T156" s="10" t="str"/>
      <x:c r="U156" s="5" t="str">
        <x:f>IF(Q156="Closed",IF(AND(R156&lt;&gt;"",S156&lt;&gt;""),"Closed recorded","Missing evidence/reviewer"),IF(Q156="N/A approved",IF(AND(T156&lt;&gt;"",S156&lt;&gt;""),"N/A recorded","Missing applicability approval"),"Open"))</x:f>
        <x:v>Open</x:v>
      </x:c>
      <x:c r="V156" s="5" t="str">
        <x:v>Normativa/IEC 62443-4-2-2019.pdf</x:v>
      </x:c>
      <x:c r="W156" s="5" t="str"/>
    </x:row>
    <x:row r="157" ht="36" customHeight="1">
      <x:c r="A157" s="5" t="str">
        <x:v>COMP-NDR2-4-01</x:v>
      </x:c>
      <x:c r="B157" s="5" t="str">
        <x:v>NDR2.4</x:v>
      </x:c>
      <x:c r="C157" s="5" t="str">
        <x:v>Mobile code</x:v>
      </x:c>
      <x:c r="D157" s="5" t="str">
        <x:v>If mobile code is used, control its execution</x:v>
      </x:c>
      <x:c r="E157" s="5" t="str">
        <x:v>Conditional mandatory</x:v>
      </x:c>
      <x:c r="F157" s="5" t="str">
        <x:v>Component classified as NDR; relevant FR SL-C &gt;= 1; feature conditions apply</x:v>
      </x:c>
      <x:c r="G157" s="5" t="n">
        <x:v>1</x:v>
      </x:c>
      <x:c r="H157" s="5" t="str">
        <x:v>15.4.1</x:v>
      </x:c>
      <x:c r="I157" s="5" t="str">
        <x:v>78-79</x:v>
      </x:c>
      <x:c r="J157" s="5" t="str">
        <x:v>76,77</x:v>
      </x:c>
      <x:c r="K157" s="5" t="str">
        <x:v>apps/ccli/core; apps/ccli/adapters; apps/ccli/CMakeLists.txt; apps/ccli/tests/unit; CI/code-review work required</x:v>
      </x:c>
      <x:c r="L157" s="5" t="str">
        <x:v>HiTEKS firmware lead</x:v>
      </x:c>
      <x:c r="M157" s="5" t="str">
        <x:v>Existing implementation area; requirement acceptance open</x:v>
      </x:c>
      <x:c r="N157" s="5" t="str">
        <x:v>Not demonstrated</x:v>
      </x:c>
      <x:c r="O157" s="5" t="str">
        <x:v>Review record plus reproducible automated analysis/regression results for the frozen source. Verify: If mobile code is used, control its execution.</x:v>
      </x:c>
      <x:c r="P157" s="10" t="str"/>
      <x:c r="Q157" s="10" t="str">
        <x:v>Open</x:v>
      </x:c>
      <x:c r="R157" s="10" t="str"/>
      <x:c r="S157" s="10" t="str"/>
      <x:c r="T157" s="10" t="str"/>
      <x:c r="U157" s="5" t="str">
        <x:f>IF(Q157="Closed",IF(AND(R157&lt;&gt;"",S157&lt;&gt;""),"Closed recorded","Missing evidence/reviewer"),IF(Q157="N/A approved",IF(AND(T157&lt;&gt;"",S157&lt;&gt;""),"N/A recorded","Missing applicability approval"),"Open"))</x:f>
        <x:v>Open</x:v>
      </x:c>
      <x:c r="V157" s="5" t="str">
        <x:v>Normativa/IEC 62443-4-2-2019.pdf</x:v>
      </x:c>
      <x:c r="W157" s="5" t="str">
        <x:v>SAR application and EDR finished-controller scopes are candidates. NDR requires network-device/boundary scope decision. HDR is a separate classification decision, not implied by USB/console presence.</x:v>
      </x:c>
    </x:row>
    <x:row r="158" ht="36" customHeight="1">
      <x:c r="A158" s="5" t="str">
        <x:v>COMP-NDR2-4-02</x:v>
      </x:c>
      <x:c r="B158" s="5" t="str">
        <x:v>NDR2.4</x:v>
      </x:c>
      <x:c r="C158" s="5" t="str">
        <x:v>Mobile code</x:v>
      </x:c>
      <x:c r="D158" s="5" t="str">
        <x:v>Control users allowed to transfer/upload it</x:v>
      </x:c>
      <x:c r="E158" s="5" t="str">
        <x:v>Conditional mandatory</x:v>
      </x:c>
      <x:c r="F158" s="5" t="str">
        <x:v>Component classified as NDR; relevant FR SL-C &gt;= 1; feature conditions apply</x:v>
      </x:c>
      <x:c r="G158" s="5" t="n">
        <x:v>1</x:v>
      </x:c>
      <x:c r="H158" s="5" t="str">
        <x:v>15.4.1</x:v>
      </x:c>
      <x:c r="I158" s="5" t="str">
        <x:v>78-79</x:v>
      </x:c>
      <x:c r="J158" s="5" t="str">
        <x:v>76,77</x:v>
      </x:c>
      <x:c r="K158" s="5" t="str">
        <x:v>apps/ccli/core; apps/ccli/adapters; apps/ccli/CMakeLists.txt; apps/ccli/tests/unit; CI/code-review work required</x:v>
      </x:c>
      <x:c r="L158" s="5" t="str">
        <x:v>HiTEKS firmware lead</x:v>
      </x:c>
      <x:c r="M158" s="5" t="str">
        <x:v>Existing implementation area; requirement acceptance open</x:v>
      </x:c>
      <x:c r="N158" s="5" t="str">
        <x:v>Not demonstrated</x:v>
      </x:c>
      <x:c r="O158" s="5" t="str">
        <x:v>Review record plus reproducible automated analysis/regression results for the frozen source. Verify: Control users allowed to transfer/upload it.</x:v>
      </x:c>
      <x:c r="P158" s="10" t="str"/>
      <x:c r="Q158" s="10" t="str">
        <x:v>Open</x:v>
      </x:c>
      <x:c r="R158" s="10" t="str"/>
      <x:c r="S158" s="10" t="str"/>
      <x:c r="T158" s="10" t="str"/>
      <x:c r="U158" s="5" t="str">
        <x:f>IF(Q158="Closed",IF(AND(R158&lt;&gt;"",S158&lt;&gt;""),"Closed recorded","Missing evidence/reviewer"),IF(Q158="N/A approved",IF(AND(T158&lt;&gt;"",S158&lt;&gt;""),"N/A recorded","Missing applicability approval"),"Open"))</x:f>
        <x:v>Open</x:v>
      </x:c>
      <x:c r="V158" s="5" t="str">
        <x:v>Normativa/IEC 62443-4-2-2019.pdf</x:v>
      </x:c>
      <x:c r="W158" s="5" t="str">
        <x:v>SAR application and EDR finished-controller scopes are candidates. NDR requires network-device/boundary scope decision. HDR is a separate classification decision, not implied by USB/console presence.</x:v>
      </x:c>
    </x:row>
    <x:row r="159" ht="36" customHeight="1">
      <x:c r="A159" s="5" t="str">
        <x:v>COMP-NDR2-4-03</x:v>
      </x:c>
      <x:c r="B159" s="5" t="str">
        <x:v>NDR2.4</x:v>
      </x:c>
      <x:c r="C159" s="5" t="str">
        <x:v>Mobile code</x:v>
      </x:c>
      <x:c r="D159" s="5" t="str">
        <x:v>Verify integrity before executing it</x:v>
      </x:c>
      <x:c r="E159" s="5" t="str">
        <x:v>Conditional mandatory</x:v>
      </x:c>
      <x:c r="F159" s="5" t="str">
        <x:v>Component classified as NDR; relevant FR SL-C &gt;= 1; feature conditions apply</x:v>
      </x:c>
      <x:c r="G159" s="5" t="n">
        <x:v>1</x:v>
      </x:c>
      <x:c r="H159" s="5" t="str">
        <x:v>15.4.1</x:v>
      </x:c>
      <x:c r="I159" s="5" t="str">
        <x:v>78-79</x:v>
      </x:c>
      <x:c r="J159" s="5" t="str">
        <x:v>76,77</x:v>
      </x:c>
      <x:c r="K159" s="5" t="str">
        <x:v>apps/ccli/core; apps/ccli/adapters; apps/ccli/CMakeLists.txt; apps/ccli/tests/unit; CI/code-review work required</x:v>
      </x:c>
      <x:c r="L159" s="5" t="str">
        <x:v>HiTEKS firmware lead</x:v>
      </x:c>
      <x:c r="M159" s="5" t="str">
        <x:v>Existing implementation area; requirement acceptance open</x:v>
      </x:c>
      <x:c r="N159" s="5" t="str">
        <x:v>Not demonstrated</x:v>
      </x:c>
      <x:c r="O159" s="5" t="str">
        <x:v>Review record plus reproducible automated analysis/regression results for the frozen source. Verify: Verify integrity before executing it.</x:v>
      </x:c>
      <x:c r="P159" s="10" t="str"/>
      <x:c r="Q159" s="10" t="str">
        <x:v>Open</x:v>
      </x:c>
      <x:c r="R159" s="10" t="str"/>
      <x:c r="S159" s="10" t="str"/>
      <x:c r="T159" s="10" t="str"/>
      <x:c r="U159" s="5" t="str">
        <x:f>IF(Q159="Closed",IF(AND(R159&lt;&gt;"",S159&lt;&gt;""),"Closed recorded","Missing evidence/reviewer"),IF(Q159="N/A approved",IF(AND(T159&lt;&gt;"",S159&lt;&gt;""),"N/A recorded","Missing applicability approval"),"Open"))</x:f>
        <x:v>Open</x:v>
      </x:c>
      <x:c r="V159" s="5" t="str">
        <x:v>Normativa/IEC 62443-4-2-2019.pdf</x:v>
      </x:c>
      <x:c r="W159" s="5" t="str">
        <x:v>SAR application and EDR finished-controller scopes are candidates. NDR requires network-device/boundary scope decision. HDR is a separate classification decision, not implied by USB/console presence.</x:v>
      </x:c>
    </x:row>
    <x:row r="160" ht="36" customHeight="1">
      <x:c r="A160" s="5" t="str">
        <x:v>COMP-NDR2-4-RE1-01</x:v>
      </x:c>
      <x:c r="B160" s="5" t="str">
        <x:v>NDR2.4-RE1</x:v>
      </x:c>
      <x:c r="C160" s="5" t="str">
        <x:v>Mobile-code authenticity</x:v>
      </x:c>
      <x:c r="D160" s="5" t="str">
        <x:v>Enforce mobile-code authenticity verification before execution</x:v>
      </x:c>
      <x:c r="E160" s="5" t="str">
        <x:v>Conditional mandatory</x:v>
      </x:c>
      <x:c r="F160" s="5" t="str">
        <x:v>NDR component; relevant FR SL-C &gt;= 2; feature conditions apply</x:v>
      </x:c>
      <x:c r="G160" s="5" t="n">
        <x:v>2</x:v>
      </x:c>
      <x:c r="H160" s="5" t="str">
        <x:v>15.4.3</x:v>
      </x:c>
      <x:c r="I160" s="5" t="str">
        <x:v>78-79</x:v>
      </x:c>
      <x:c r="J160" s="5" t="str">
        <x:v>76,77</x:v>
      </x:c>
      <x:c r="K160" s="5" t="str">
        <x:v>apps/ccli/core; apps/ccli/adapters; apps/ccli/CMakeLists.txt; apps/ccli/tests/unit; CI/code-review work required</x:v>
      </x:c>
      <x:c r="L160" s="5" t="str">
        <x:v>HiTEKS firmware lead</x:v>
      </x:c>
      <x:c r="M160" s="5" t="str">
        <x:v>Existing implementation area; requirement acceptance open</x:v>
      </x:c>
      <x:c r="N160" s="5" t="str">
        <x:v>Not demonstrated</x:v>
      </x:c>
      <x:c r="O160" s="5" t="str">
        <x:v>Review record plus reproducible automated analysis/regression results for the frozen source. Verify: Enforce mobile-code authenticity verification before execution.</x:v>
      </x:c>
      <x:c r="P160" s="10" t="str"/>
      <x:c r="Q160" s="10" t="str">
        <x:v>Open</x:v>
      </x:c>
      <x:c r="R160" s="10" t="str"/>
      <x:c r="S160" s="10" t="str"/>
      <x:c r="T160" s="10" t="str"/>
      <x:c r="U160" s="5" t="str">
        <x:f>IF(Q160="Closed",IF(AND(R160&lt;&gt;"",S160&lt;&gt;""),"Closed recorded","Missing evidence/reviewer"),IF(Q160="N/A approved",IF(AND(T160&lt;&gt;"",S160&lt;&gt;""),"N/A recorded","Missing applicability approval"),"Open"))</x:f>
        <x:v>Open</x:v>
      </x:c>
      <x:c r="V160" s="5" t="str">
        <x:v>Normativa/IEC 62443-4-2-2019.pdf</x:v>
      </x:c>
      <x:c r="W160" s="5" t="str"/>
    </x:row>
    <x:row r="161" ht="36" customHeight="1">
      <x:c r="A161" s="5" t="str">
        <x:v>COMP-NDR2-13-01</x:v>
      </x:c>
      <x:c r="B161" s="5" t="str">
        <x:v>NDR2.13</x:v>
      </x:c>
      <x:c r="C161" s="5" t="str">
        <x:v>Physical diagnostic interfaces</x:v>
      </x:c>
      <x:c r="D161" s="5" t="str">
        <x:v>Protect factory diagnostic/test interfaces against unauthorized use</x:v>
      </x:c>
      <x:c r="E161" s="5" t="str">
        <x:v>Conditional mandatory</x:v>
      </x:c>
      <x:c r="F161" s="5" t="str">
        <x:v>Component classified as NDR; relevant FR SL-C &gt;= 2; feature conditions apply</x:v>
      </x:c>
      <x:c r="G161" s="5" t="n">
        <x:v>2</x:v>
      </x:c>
      <x:c r="H161" s="5" t="str">
        <x:v>15.5.1</x:v>
      </x:c>
      <x:c r="I161" s="5" t="str">
        <x:v>79-80</x:v>
      </x:c>
      <x:c r="J161" s="5" t="str">
        <x:v>77,78</x:v>
      </x:c>
      <x:c r="K161" s="5" t="str">
        <x:v>Tespro BootROM/bootloader/rootfs/recovery and fuse policy; apps/firmware-updater public TPM trust is not a complete boot chain</x:v>
      </x:c>
      <x:c r="L161" s="5" t="str">
        <x:v>Tespro platform + HiTEKS acceptance</x:v>
      </x:c>
      <x:c r="M161" s="5" t="str">
        <x:v>Not demonstrated</x:v>
      </x:c>
      <x:c r="N161" s="5" t="str">
        <x:v>Not demonstrated</x:v>
      </x:c>
      <x:c r="O161" s="5" t="str">
        <x:v>Exact production board/image tests reject altered/unauthorized boot inputs and prove protected trust. Verify: Protect factory diagnostic/test interfaces against unauthorized use.</x:v>
      </x:c>
      <x:c r="P161" s="10" t="str"/>
      <x:c r="Q161" s="10" t="str">
        <x:v>Open</x:v>
      </x:c>
      <x:c r="R161" s="10" t="str"/>
      <x:c r="S161" s="10" t="str"/>
      <x:c r="T161" s="10" t="str"/>
      <x:c r="U161" s="5" t="str">
        <x:f>IF(Q161="Closed",IF(AND(R161&lt;&gt;"",S161&lt;&gt;""),"Closed recorded","Missing evidence/reviewer"),IF(Q161="N/A approved",IF(AND(T161&lt;&gt;"",S161&lt;&gt;""),"N/A recorded","Missing applicability approval"),"Open"))</x:f>
        <x:v>Open</x:v>
      </x:c>
      <x:c r="V161" s="5" t="str">
        <x:v>Normativa/IEC 62443-4-2-2019.pdf</x:v>
      </x:c>
      <x:c r="W161" s="5" t="str">
        <x:v>SAR application and EDR finished-controller scopes are candidates. NDR requires network-device/boundary scope decision. HDR is a separate classification decision, not implied by USB/console presence.</x:v>
      </x:c>
    </x:row>
    <x:row r="162" ht="36" customHeight="1">
      <x:c r="A162" s="5" t="str">
        <x:v>COMP-NDR2-13-RE1-01</x:v>
      </x:c>
      <x:c r="B162" s="5" t="str">
        <x:v>NDR2.13-RE1</x:v>
      </x:c>
      <x:c r="C162" s="5" t="str">
        <x:v>Diagnostic monitoring</x:v>
      </x:c>
      <x:c r="D162" s="5" t="str">
        <x:v>Actively monitor diagnostic/test access attempts</x:v>
      </x:c>
      <x:c r="E162" s="5" t="str">
        <x:v>Conditional mandatory</x:v>
      </x:c>
      <x:c r="F162" s="5" t="str">
        <x:v>NDR component; relevant FR SL-C &gt;= 3; feature conditions apply</x:v>
      </x:c>
      <x:c r="G162" s="5" t="n">
        <x:v>3</x:v>
      </x:c>
      <x:c r="H162" s="5" t="str">
        <x:v>15.5.3</x:v>
      </x:c>
      <x:c r="I162" s="5" t="str">
        <x:v>79-80</x:v>
      </x:c>
      <x:c r="J162" s="5" t="str">
        <x:v>77,78</x:v>
      </x:c>
      <x:c r="K162" s="5" t="str">
        <x:v>Tespro BootROM/bootloader/rootfs/recovery and fuse policy; apps/firmware-updater public TPM trust is not a complete boot chain</x:v>
      </x:c>
      <x:c r="L162" s="5" t="str">
        <x:v>Tespro platform + HiTEKS acceptance</x:v>
      </x:c>
      <x:c r="M162" s="5" t="str">
        <x:v>Not demonstrated</x:v>
      </x:c>
      <x:c r="N162" s="5" t="str">
        <x:v>Not demonstrated</x:v>
      </x:c>
      <x:c r="O162" s="5" t="str">
        <x:v>Exact production board/image tests reject altered/unauthorized boot inputs and prove protected trust. Verify: Actively monitor diagnostic/test access attempts.</x:v>
      </x:c>
      <x:c r="P162" s="10" t="str"/>
      <x:c r="Q162" s="10" t="str">
        <x:v>Open</x:v>
      </x:c>
      <x:c r="R162" s="10" t="str"/>
      <x:c r="S162" s="10" t="str"/>
      <x:c r="T162" s="10" t="str"/>
      <x:c r="U162" s="5" t="str">
        <x:f>IF(Q162="Closed",IF(AND(R162&lt;&gt;"",S162&lt;&gt;""),"Closed recorded","Missing evidence/reviewer"),IF(Q162="N/A approved",IF(AND(T162&lt;&gt;"",S162&lt;&gt;""),"N/A recorded","Missing applicability approval"),"Open"))</x:f>
        <x:v>Open</x:v>
      </x:c>
      <x:c r="V162" s="5" t="str">
        <x:v>Normativa/IEC 62443-4-2-2019.pdf</x:v>
      </x:c>
      <x:c r="W162" s="5" t="str"/>
    </x:row>
    <x:row r="163" ht="36" customHeight="1">
      <x:c r="A163" s="5" t="str">
        <x:v>COMP-NDR2-13-RE1-02</x:v>
      </x:c>
      <x:c r="B163" s="5" t="str">
        <x:v>NDR2.13-RE1</x:v>
      </x:c>
      <x:c r="C163" s="5" t="str">
        <x:v>Diagnostic monitoring</x:v>
      </x:c>
      <x:c r="D163" s="5" t="str">
        <x:v>Record attempts in the audit log</x:v>
      </x:c>
      <x:c r="E163" s="5" t="str">
        <x:v>Conditional mandatory</x:v>
      </x:c>
      <x:c r="F163" s="5" t="str">
        <x:v>NDR component; relevant FR SL-C &gt;= 3; feature conditions apply</x:v>
      </x:c>
      <x:c r="G163" s="5" t="n">
        <x:v>3</x:v>
      </x:c>
      <x:c r="H163" s="5" t="str">
        <x:v>15.5.3</x:v>
      </x:c>
      <x:c r="I163" s="5" t="str">
        <x:v>79-80</x:v>
      </x:c>
      <x:c r="J163" s="5" t="str">
        <x:v>77,78</x:v>
      </x:c>
      <x:c r="K163" s="5" t="str">
        <x:v>Tespro BootROM/bootloader/rootfs/recovery and fuse policy; apps/firmware-updater public TPM trust is not a complete boot chain</x:v>
      </x:c>
      <x:c r="L163" s="5" t="str">
        <x:v>Tespro platform + HiTEKS acceptance</x:v>
      </x:c>
      <x:c r="M163" s="5" t="str">
        <x:v>Not demonstrated</x:v>
      </x:c>
      <x:c r="N163" s="5" t="str">
        <x:v>Not demonstrated</x:v>
      </x:c>
      <x:c r="O163" s="5" t="str">
        <x:v>Exact production board/image tests reject altered/unauthorized boot inputs and prove protected trust. Verify: Record attempts in the audit log.</x:v>
      </x:c>
      <x:c r="P163" s="10" t="str"/>
      <x:c r="Q163" s="10" t="str">
        <x:v>Open</x:v>
      </x:c>
      <x:c r="R163" s="10" t="str"/>
      <x:c r="S163" s="10" t="str"/>
      <x:c r="T163" s="10" t="str"/>
      <x:c r="U163" s="5" t="str">
        <x:f>IF(Q163="Closed",IF(AND(R163&lt;&gt;"",S163&lt;&gt;""),"Closed recorded","Missing evidence/reviewer"),IF(Q163="N/A approved",IF(AND(T163&lt;&gt;"",S163&lt;&gt;""),"N/A recorded","Missing applicability approval"),"Open"))</x:f>
        <x:v>Open</x:v>
      </x:c>
      <x:c r="V163" s="5" t="str">
        <x:v>Normativa/IEC 62443-4-2-2019.pdf</x:v>
      </x:c>
      <x:c r="W163" s="5" t="str"/>
    </x:row>
    <x:row r="164" ht="36" customHeight="1">
      <x:c r="A164" s="5" t="str">
        <x:v>COMP-NDR3-2-01</x:v>
      </x:c>
      <x:c r="B164" s="5" t="str">
        <x:v>NDR3.2</x:v>
      </x:c>
      <x:c r="C164" s="5" t="str">
        <x:v>Malicious-code protection</x:v>
      </x:c>
      <x:c r="D164" s="5" t="str">
        <x:v>Provide protection from malicious code or integrate with an appropriate protection mechanism</x:v>
      </x:c>
      <x:c r="E164" s="5" t="str">
        <x:v>Conditional mandatory</x:v>
      </x:c>
      <x:c r="F164" s="5" t="str">
        <x:v>Component classified as NDR; relevant FR SL-C &gt;= 1; feature conditions apply</x:v>
      </x:c>
      <x:c r="G164" s="5" t="n">
        <x:v>1</x:v>
      </x:c>
      <x:c r="H164" s="5" t="str">
        <x:v>15.6.1</x:v>
      </x:c>
      <x:c r="I164" s="5" t="str">
        <x:v>80</x:v>
      </x:c>
      <x:c r="J164" s="5" t="str">
        <x:v>78</x:v>
      </x:c>
      <x:c r="K164" s="5" t="str">
        <x:v>Tespro BootROM/bootloader/rootfs/recovery and fuse policy; apps/firmware-updater public TPM trust is not a complete boot chain</x:v>
      </x:c>
      <x:c r="L164" s="5" t="str">
        <x:v>Tespro platform + HiTEKS acceptance</x:v>
      </x:c>
      <x:c r="M164" s="5" t="str">
        <x:v>Not demonstrated</x:v>
      </x:c>
      <x:c r="N164" s="5" t="str">
        <x:v>Not demonstrated</x:v>
      </x:c>
      <x:c r="O164" s="5" t="str">
        <x:v>Exact production board/image tests reject altered/unauthorized boot inputs and prove protected trust. Verify: Provide protection from malicious code or integrate with an appropriate protection mechanism.</x:v>
      </x:c>
      <x:c r="P164" s="10" t="str"/>
      <x:c r="Q164" s="10" t="str">
        <x:v>Open</x:v>
      </x:c>
      <x:c r="R164" s="10" t="str"/>
      <x:c r="S164" s="10" t="str"/>
      <x:c r="T164" s="10" t="str"/>
      <x:c r="U164" s="5" t="str">
        <x:f>IF(Q164="Closed",IF(AND(R164&lt;&gt;"",S164&lt;&gt;""),"Closed recorded","Missing evidence/reviewer"),IF(Q164="N/A approved",IF(AND(T164&lt;&gt;"",S164&lt;&gt;""),"N/A recorded","Missing applicability approval"),"Open"))</x:f>
        <x:v>Open</x:v>
      </x:c>
      <x:c r="V164" s="5" t="str">
        <x:v>Normativa/IEC 62443-4-2-2019.pdf</x:v>
      </x:c>
      <x:c r="W164" s="5" t="str">
        <x:v>SAR application and EDR finished-controller scopes are candidates. NDR requires network-device/boundary scope decision. HDR is a separate classification decision, not implied by USB/console presence.</x:v>
      </x:c>
    </x:row>
    <x:row r="165" ht="36" customHeight="1">
      <x:c r="A165" s="5" t="str">
        <x:v>COMP-NDR3-10-01</x:v>
      </x:c>
      <x:c r="B165" s="5" t="str">
        <x:v>NDR3.10</x:v>
      </x:c>
      <x:c r="C165" s="5" t="str">
        <x:v>Update support</x:v>
      </x:c>
      <x:c r="D165" s="5" t="str">
        <x:v>Support updates and upgrades</x:v>
      </x:c>
      <x:c r="E165" s="5" t="str">
        <x:v>Conditional mandatory</x:v>
      </x:c>
      <x:c r="F165" s="5" t="str">
        <x:v>Component classified as NDR; relevant FR SL-C &gt;= 1; feature conditions apply</x:v>
      </x:c>
      <x:c r="G165" s="5" t="n">
        <x:v>1</x:v>
      </x:c>
      <x:c r="H165" s="5" t="str">
        <x:v>15.7.1</x:v>
      </x:c>
      <x:c r="I165" s="5" t="str">
        <x:v>80-81</x:v>
      </x:c>
      <x:c r="J165" s="5" t="str">
        <x:v>78,79</x:v>
      </x:c>
      <x:c r="K165" s="5" t="str">
        <x:v>apps/firmware-updater/src/firmware_updater.cpp; docs/SIGNING_AND_USB_UPDATES.md; package/ccli/Makefile</x:v>
      </x:c>
      <x:c r="L165" s="5" t="str">
        <x:v>HiTEKS release/security lead</x:v>
      </x:c>
      <x:c r="M165" s="5" t="str">
        <x:v>Existing implementation area; requirement acceptance open</x:v>
      </x:c>
      <x:c r="N165" s="5" t="str">
        <x:v>Canonical firmware-updater absent at reviewed GitHub main; verify alternative mechanism</x:v>
      </x:c>
      <x:c r="O165" s="5" t="str">
        <x:v>Signed USB installation and negative signature/replay tests for exact release; verify failure and recovery. Verify: Support updates and upgrades.</x:v>
      </x:c>
      <x:c r="P165" s="10" t="str"/>
      <x:c r="Q165" s="10" t="str">
        <x:v>Open</x:v>
      </x:c>
      <x:c r="R165" s="10" t="str"/>
      <x:c r="S165" s="10" t="str"/>
      <x:c r="T165" s="10" t="str"/>
      <x:c r="U165" s="5" t="str">
        <x:f>IF(Q165="Closed",IF(AND(R165&lt;&gt;"",S165&lt;&gt;""),"Closed recorded","Missing evidence/reviewer"),IF(Q165="N/A approved",IF(AND(T165&lt;&gt;"",S165&lt;&gt;""),"N/A recorded","Missing applicability approval"),"Open"))</x:f>
        <x:v>Open</x:v>
      </x:c>
      <x:c r="V165" s="5" t="str">
        <x:v>Normativa/IEC 62443-4-2-2019.pdf</x:v>
      </x:c>
      <x:c r="W165" s="5" t="str">
        <x:v>SAR application and EDR finished-controller scopes are candidates. NDR requires network-device/boundary scope decision. HDR is a separate classification decision, not implied by USB/console presence.</x:v>
      </x:c>
    </x:row>
    <x:row r="166" ht="36" customHeight="1">
      <x:c r="A166" s="5" t="str">
        <x:v>COMP-NDR3-10-RE1-01</x:v>
      </x:c>
      <x:c r="B166" s="5" t="str">
        <x:v>NDR3.10-RE1</x:v>
      </x:c>
      <x:c r="C166" s="5" t="str">
        <x:v>Update authenticity/integrity</x:v>
      </x:c>
      <x:c r="D166" s="5" t="str">
        <x:v>Validate authenticity and integrity of every software update/upgrade before installation</x:v>
      </x:c>
      <x:c r="E166" s="5" t="str">
        <x:v>Conditional mandatory</x:v>
      </x:c>
      <x:c r="F166" s="5" t="str">
        <x:v>NDR component; relevant FR SL-C &gt;= 2; feature conditions apply</x:v>
      </x:c>
      <x:c r="G166" s="5" t="n">
        <x:v>2</x:v>
      </x:c>
      <x:c r="H166" s="5" t="str">
        <x:v>15.7.3</x:v>
      </x:c>
      <x:c r="I166" s="5" t="str">
        <x:v>80-81</x:v>
      </x:c>
      <x:c r="J166" s="5" t="str">
        <x:v>78,79</x:v>
      </x:c>
      <x:c r="K166" s="5" t="str">
        <x:v>apps/firmware-updater/src/firmware_updater.cpp; docs/SIGNING_AND_USB_UPDATES.md; package/ccli/Makefile</x:v>
      </x:c>
      <x:c r="L166" s="5" t="str">
        <x:v>HiTEKS release/security lead</x:v>
      </x:c>
      <x:c r="M166" s="5" t="str">
        <x:v>Existing implementation area; requirement acceptance open</x:v>
      </x:c>
      <x:c r="N166" s="5" t="str">
        <x:v>Canonical firmware-updater absent at reviewed GitHub main; verify alternative mechanism</x:v>
      </x:c>
      <x:c r="O166" s="5" t="str">
        <x:v>Signed USB installation and negative signature/replay tests for exact release; verify failure and recovery. Verify: Validate authenticity and integrity of every software update/upgrade before installation.</x:v>
      </x:c>
      <x:c r="P166" s="10" t="str"/>
      <x:c r="Q166" s="10" t="str">
        <x:v>Open</x:v>
      </x:c>
      <x:c r="R166" s="10" t="str"/>
      <x:c r="S166" s="10" t="str"/>
      <x:c r="T166" s="10" t="str"/>
      <x:c r="U166" s="5" t="str">
        <x:f>IF(Q166="Closed",IF(AND(R166&lt;&gt;"",S166&lt;&gt;""),"Closed recorded","Missing evidence/reviewer"),IF(Q166="N/A approved",IF(AND(T166&lt;&gt;"",S166&lt;&gt;""),"N/A recorded","Missing applicability approval"),"Open"))</x:f>
        <x:v>Open</x:v>
      </x:c>
      <x:c r="V166" s="5" t="str">
        <x:v>Normativa/IEC 62443-4-2-2019.pdf</x:v>
      </x:c>
      <x:c r="W166" s="5" t="str"/>
    </x:row>
    <x:row r="167" ht="36" customHeight="1">
      <x:c r="A167" s="5" t="str">
        <x:v>COMP-NDR3-11-01</x:v>
      </x:c>
      <x:c r="B167" s="5" t="str">
        <x:v>NDR3.11</x:v>
      </x:c>
      <x:c r="C167" s="5" t="str">
        <x:v>Physical tamper protection</x:v>
      </x:c>
      <x:c r="D167" s="5" t="str">
        <x:v>Provide physical tamper resistance and detection mechanisms</x:v>
      </x:c>
      <x:c r="E167" s="5" t="str">
        <x:v>Conditional mandatory</x:v>
      </x:c>
      <x:c r="F167" s="5" t="str">
        <x:v>Component classified as NDR; relevant FR SL-C &gt;= 2; feature conditions apply</x:v>
      </x:c>
      <x:c r="G167" s="5" t="n">
        <x:v>2</x:v>
      </x:c>
      <x:c r="H167" s="5" t="str">
        <x:v>15.8.1</x:v>
      </x:c>
      <x:c r="I167" s="5" t="str">
        <x:v>81</x:v>
      </x:c>
      <x:c r="J167" s="5" t="str">
        <x:v>79</x:v>
      </x:c>
      <x:c r="K167" s="5" t="str">
        <x:v>Tespro BootROM/bootloader/rootfs/recovery and fuse policy; apps/firmware-updater public TPM trust is not a complete boot chain</x:v>
      </x:c>
      <x:c r="L167" s="5" t="str">
        <x:v>Tespro platform + HiTEKS acceptance</x:v>
      </x:c>
      <x:c r="M167" s="5" t="str">
        <x:v>Not demonstrated</x:v>
      </x:c>
      <x:c r="N167" s="5" t="str">
        <x:v>Not demonstrated</x:v>
      </x:c>
      <x:c r="O167" s="5" t="str">
        <x:v>Exact production board/image tests reject altered/unauthorized boot inputs and prove protected trust. Verify: Provide physical tamper resistance and detection mechanisms.</x:v>
      </x:c>
      <x:c r="P167" s="10" t="str"/>
      <x:c r="Q167" s="10" t="str">
        <x:v>Open</x:v>
      </x:c>
      <x:c r="R167" s="10" t="str"/>
      <x:c r="S167" s="10" t="str"/>
      <x:c r="T167" s="10" t="str"/>
      <x:c r="U167" s="5" t="str">
        <x:f>IF(Q167="Closed",IF(AND(R167&lt;&gt;"",S167&lt;&gt;""),"Closed recorded","Missing evidence/reviewer"),IF(Q167="N/A approved",IF(AND(T167&lt;&gt;"",S167&lt;&gt;""),"N/A recorded","Missing applicability approval"),"Open"))</x:f>
        <x:v>Open</x:v>
      </x:c>
      <x:c r="V167" s="5" t="str">
        <x:v>Normativa/IEC 62443-4-2-2019.pdf</x:v>
      </x:c>
      <x:c r="W167" s="5" t="str">
        <x:v>SAR application and EDR finished-controller scopes are candidates. NDR requires network-device/boundary scope decision. HDR is a separate classification decision, not implied by USB/console presence.</x:v>
      </x:c>
    </x:row>
    <x:row r="168" ht="36" customHeight="1">
      <x:c r="A168" s="5" t="str">
        <x:v>COMP-NDR3-11-RE1-01</x:v>
      </x:c>
      <x:c r="B168" s="5" t="str">
        <x:v>NDR3.11-RE1</x:v>
      </x:c>
      <x:c r="C168" s="5" t="str">
        <x:v>Tamper notification</x:v>
      </x:c>
      <x:c r="D168" s="5" t="str">
        <x:v>Notify configurable recipients of detected unauthorized physical-access attempts</x:v>
      </x:c>
      <x:c r="E168" s="5" t="str">
        <x:v>Conditional mandatory</x:v>
      </x:c>
      <x:c r="F168" s="5" t="str">
        <x:v>NDR component; relevant FR SL-C &gt;= 3; feature conditions apply</x:v>
      </x:c>
      <x:c r="G168" s="5" t="n">
        <x:v>3</x:v>
      </x:c>
      <x:c r="H168" s="5" t="str">
        <x:v>15.8.3</x:v>
      </x:c>
      <x:c r="I168" s="5" t="str">
        <x:v>81</x:v>
      </x:c>
      <x:c r="J168" s="5" t="str">
        <x:v>79</x:v>
      </x:c>
      <x:c r="K168" s="5" t="str">
        <x:v>Tespro BootROM/bootloader/rootfs/recovery and fuse policy; apps/firmware-updater public TPM trust is not a complete boot chain</x:v>
      </x:c>
      <x:c r="L168" s="5" t="str">
        <x:v>Tespro platform + HiTEKS acceptance</x:v>
      </x:c>
      <x:c r="M168" s="5" t="str">
        <x:v>Not demonstrated</x:v>
      </x:c>
      <x:c r="N168" s="5" t="str">
        <x:v>Not demonstrated</x:v>
      </x:c>
      <x:c r="O168" s="5" t="str">
        <x:v>Exact production board/image tests reject altered/unauthorized boot inputs and prove protected trust. Verify: Notify configurable recipients of detected unauthorized physical-access attempts.</x:v>
      </x:c>
      <x:c r="P168" s="10" t="str"/>
      <x:c r="Q168" s="10" t="str">
        <x:v>Open</x:v>
      </x:c>
      <x:c r="R168" s="10" t="str"/>
      <x:c r="S168" s="10" t="str"/>
      <x:c r="T168" s="10" t="str"/>
      <x:c r="U168" s="5" t="str">
        <x:f>IF(Q168="Closed",IF(AND(R168&lt;&gt;"",S168&lt;&gt;""),"Closed recorded","Missing evidence/reviewer"),IF(Q168="N/A approved",IF(AND(T168&lt;&gt;"",S168&lt;&gt;""),"N/A recorded","Missing applicability approval"),"Open"))</x:f>
        <x:v>Open</x:v>
      </x:c>
      <x:c r="V168" s="5" t="str">
        <x:v>Normativa/IEC 62443-4-2-2019.pdf</x:v>
      </x:c>
      <x:c r="W168" s="5" t="str"/>
    </x:row>
    <x:row r="169" ht="36" customHeight="1">
      <x:c r="A169" s="5" t="str">
        <x:v>COMP-NDR3-11-RE1-02</x:v>
      </x:c>
      <x:c r="B169" s="5" t="str">
        <x:v>NDR3.11-RE1</x:v>
      </x:c>
      <x:c r="C169" s="5" t="str">
        <x:v>Tamper notification</x:v>
      </x:c>
      <x:c r="D169" s="5" t="str">
        <x:v>Log all tamper notifications</x:v>
      </x:c>
      <x:c r="E169" s="5" t="str">
        <x:v>Conditional mandatory</x:v>
      </x:c>
      <x:c r="F169" s="5" t="str">
        <x:v>NDR component; relevant FR SL-C &gt;= 3; feature conditions apply</x:v>
      </x:c>
      <x:c r="G169" s="5" t="n">
        <x:v>3</x:v>
      </x:c>
      <x:c r="H169" s="5" t="str">
        <x:v>15.8.3</x:v>
      </x:c>
      <x:c r="I169" s="5" t="str">
        <x:v>81</x:v>
      </x:c>
      <x:c r="J169" s="5" t="str">
        <x:v>79</x:v>
      </x:c>
      <x:c r="K169" s="5" t="str">
        <x:v>Tespro BootROM/bootloader/rootfs/recovery and fuse policy; apps/firmware-updater public TPM trust is not a complete boot chain</x:v>
      </x:c>
      <x:c r="L169" s="5" t="str">
        <x:v>Tespro platform + HiTEKS acceptance</x:v>
      </x:c>
      <x:c r="M169" s="5" t="str">
        <x:v>Not demonstrated</x:v>
      </x:c>
      <x:c r="N169" s="5" t="str">
        <x:v>Not demonstrated</x:v>
      </x:c>
      <x:c r="O169" s="5" t="str">
        <x:v>Exact production board/image tests reject altered/unauthorized boot inputs and prove protected trust. Verify: Log all tamper notifications.</x:v>
      </x:c>
      <x:c r="P169" s="10" t="str"/>
      <x:c r="Q169" s="10" t="str">
        <x:v>Open</x:v>
      </x:c>
      <x:c r="R169" s="10" t="str"/>
      <x:c r="S169" s="10" t="str"/>
      <x:c r="T169" s="10" t="str"/>
      <x:c r="U169" s="5" t="str">
        <x:f>IF(Q169="Closed",IF(AND(R169&lt;&gt;"",S169&lt;&gt;""),"Closed recorded","Missing evidence/reviewer"),IF(Q169="N/A approved",IF(AND(T169&lt;&gt;"",S169&lt;&gt;""),"N/A recorded","Missing applicability approval"),"Open"))</x:f>
        <x:v>Open</x:v>
      </x:c>
      <x:c r="V169" s="5" t="str">
        <x:v>Normativa/IEC 62443-4-2-2019.pdf</x:v>
      </x:c>
      <x:c r="W169" s="5" t="str"/>
    </x:row>
    <x:row r="170" ht="36" customHeight="1">
      <x:c r="A170" s="5" t="str">
        <x:v>COMP-NDR3-12-01</x:v>
      </x:c>
      <x:c r="B170" s="5" t="str">
        <x:v>NDR3.12</x:v>
      </x:c>
      <x:c r="C170" s="5" t="str">
        <x:v>Supplier roots of trust</x:v>
      </x:c>
      <x:c r="D170" s="5" t="str">
        <x:v>Provision and protect supplier keys/data serving as roots of trust at manufacture</x:v>
      </x:c>
      <x:c r="E170" s="5" t="str">
        <x:v>Conditional mandatory</x:v>
      </x:c>
      <x:c r="F170" s="5" t="str">
        <x:v>Component classified as NDR; relevant FR SL-C &gt;= 2; feature conditions apply</x:v>
      </x:c>
      <x:c r="G170" s="5" t="n">
        <x:v>2</x:v>
      </x:c>
      <x:c r="H170" s="5" t="str">
        <x:v>15.9.1</x:v>
      </x:c>
      <x:c r="I170" s="5" t="str">
        <x:v>81-82</x:v>
      </x:c>
      <x:c r="J170" s="5" t="str">
        <x:v>79,80</x:v>
      </x:c>
      <x:c r="K170" s="5" t="str">
        <x:v>Tespro BootROM/bootloader/rootfs/recovery and fuse policy; apps/firmware-updater public TPM trust is not a complete boot chain</x:v>
      </x:c>
      <x:c r="L170" s="5" t="str">
        <x:v>Tespro platform + HiTEKS acceptance</x:v>
      </x:c>
      <x:c r="M170" s="5" t="str">
        <x:v>Not demonstrated</x:v>
      </x:c>
      <x:c r="N170" s="5" t="str">
        <x:v>Not demonstrated</x:v>
      </x:c>
      <x:c r="O170" s="5" t="str">
        <x:v>Exact production board/image tests reject altered/unauthorized boot inputs and prove protected trust. Verify: Provision and protect supplier keys/data serving as roots of trust at manufacture.</x:v>
      </x:c>
      <x:c r="P170" s="10" t="str"/>
      <x:c r="Q170" s="10" t="str">
        <x:v>Open</x:v>
      </x:c>
      <x:c r="R170" s="10" t="str"/>
      <x:c r="S170" s="10" t="str"/>
      <x:c r="T170" s="10" t="str"/>
      <x:c r="U170" s="5" t="str">
        <x:f>IF(Q170="Closed",IF(AND(R170&lt;&gt;"",S170&lt;&gt;""),"Closed recorded","Missing evidence/reviewer"),IF(Q170="N/A approved",IF(AND(T170&lt;&gt;"",S170&lt;&gt;""),"N/A recorded","Missing applicability approval"),"Open"))</x:f>
        <x:v>Open</x:v>
      </x:c>
      <x:c r="V170" s="5" t="str">
        <x:v>Normativa/IEC 62443-4-2-2019.pdf</x:v>
      </x:c>
      <x:c r="W170" s="5" t="str">
        <x:v>SAR application and EDR finished-controller scopes are candidates. NDR requires network-device/boundary scope decision. HDR is a separate classification decision, not implied by USB/console presence.</x:v>
      </x:c>
    </x:row>
    <x:row r="171" ht="36" customHeight="1">
      <x:c r="A171" s="5" t="str">
        <x:v>COMP-NDR3-13-01</x:v>
      </x:c>
      <x:c r="B171" s="5" t="str">
        <x:v>NDR3.13</x:v>
      </x:c>
      <x:c r="C171" s="5" t="str">
        <x:v>Owner roots of trust</x:v>
      </x:c>
      <x:c r="D171" s="5" t="str">
        <x:v>Provision and protect asset-owner keys/data serving as roots of trust</x:v>
      </x:c>
      <x:c r="E171" s="5" t="str">
        <x:v>Conditional mandatory</x:v>
      </x:c>
      <x:c r="F171" s="5" t="str">
        <x:v>Component classified as NDR; relevant FR SL-C &gt;= 2; feature conditions apply</x:v>
      </x:c>
      <x:c r="G171" s="5" t="n">
        <x:v>2</x:v>
      </x:c>
      <x:c r="H171" s="5" t="str">
        <x:v>15.10.1</x:v>
      </x:c>
      <x:c r="I171" s="5" t="str">
        <x:v>82-83</x:v>
      </x:c>
      <x:c r="J171" s="5" t="str">
        <x:v>80,81</x:v>
      </x:c>
      <x:c r="K171" s="5" t="str">
        <x:v>Tespro BootROM/bootloader/rootfs/recovery and fuse policy; apps/firmware-updater public TPM trust is not a complete boot chain</x:v>
      </x:c>
      <x:c r="L171" s="5" t="str">
        <x:v>Tespro platform + HiTEKS acceptance</x:v>
      </x:c>
      <x:c r="M171" s="5" t="str">
        <x:v>Not demonstrated</x:v>
      </x:c>
      <x:c r="N171" s="5" t="str">
        <x:v>Not demonstrated</x:v>
      </x:c>
      <x:c r="O171" s="5" t="str">
        <x:v>Exact production board/image tests reject altered/unauthorized boot inputs and prove protected trust. Verify: Provision and protect asset-owner keys/data serving as roots of trust.</x:v>
      </x:c>
      <x:c r="P171" s="10" t="str"/>
      <x:c r="Q171" s="10" t="str">
        <x:v>Open</x:v>
      </x:c>
      <x:c r="R171" s="10" t="str"/>
      <x:c r="S171" s="10" t="str"/>
      <x:c r="T171" s="10" t="str"/>
      <x:c r="U171" s="5" t="str">
        <x:f>IF(Q171="Closed",IF(AND(R171&lt;&gt;"",S171&lt;&gt;""),"Closed recorded","Missing evidence/reviewer"),IF(Q171="N/A approved",IF(AND(T171&lt;&gt;"",S171&lt;&gt;""),"N/A recorded","Missing applicability approval"),"Open"))</x:f>
        <x:v>Open</x:v>
      </x:c>
      <x:c r="V171" s="5" t="str">
        <x:v>Normativa/IEC 62443-4-2-2019.pdf</x:v>
      </x:c>
      <x:c r="W171" s="5" t="str">
        <x:v>SAR application and EDR finished-controller scopes are candidates. NDR requires network-device/boundary scope decision. HDR is a separate classification decision, not implied by USB/console presence.</x:v>
      </x:c>
    </x:row>
    <x:row r="172" ht="36" customHeight="1">
      <x:c r="A172" s="5" t="str">
        <x:v>COMP-NDR3-14-01</x:v>
      </x:c>
      <x:c r="B172" s="5" t="str">
        <x:v>NDR3.14</x:v>
      </x:c>
      <x:c r="C172" s="5" t="str">
        <x:v>Boot integrity</x:v>
      </x:c>
      <x:c r="D172" s="5" t="str">
        <x:v>Verify firmware/software/configuration integrity before boot/runtime use</x:v>
      </x:c>
      <x:c r="E172" s="5" t="str">
        <x:v>Conditional mandatory</x:v>
      </x:c>
      <x:c r="F172" s="5" t="str">
        <x:v>Component classified as NDR; relevant FR SL-C &gt;= 1; feature conditions apply</x:v>
      </x:c>
      <x:c r="G172" s="5" t="n">
        <x:v>1</x:v>
      </x:c>
      <x:c r="H172" s="5" t="str">
        <x:v>15.11.1</x:v>
      </x:c>
      <x:c r="I172" s="5" t="str">
        <x:v>83-84</x:v>
      </x:c>
      <x:c r="J172" s="5" t="str">
        <x:v>81,82</x:v>
      </x:c>
      <x:c r="K172" s="5" t="str">
        <x:v>Tespro BootROM/bootloader/rootfs/recovery and fuse policy; apps/firmware-updater public TPM trust is not a complete boot chain</x:v>
      </x:c>
      <x:c r="L172" s="5" t="str">
        <x:v>Tespro platform + HiTEKS acceptance</x:v>
      </x:c>
      <x:c r="M172" s="5" t="str">
        <x:v>Supplier draft guidance only; enforced production boot chain not demonstrated</x:v>
      </x:c>
      <x:c r="N172" s="5" t="str">
        <x:v>Not demonstrated</x:v>
      </x:c>
      <x:c r="O172" s="5" t="str">
        <x:v>Exact production board/image tests reject altered/unauthorized boot inputs and prove protected trust. Verify: Verify firmware/software/configuration integrity before boot/runtime use.</x:v>
      </x:c>
      <x:c r="P172" s="10" t="str"/>
      <x:c r="Q172" s="10" t="str">
        <x:v>Open</x:v>
      </x:c>
      <x:c r="R172" s="10" t="str"/>
      <x:c r="S172" s="10" t="str"/>
      <x:c r="T172" s="10" t="str"/>
      <x:c r="U172" s="5" t="str">
        <x:f>IF(Q172="Closed",IF(AND(R172&lt;&gt;"",S172&lt;&gt;""),"Closed recorded","Missing evidence/reviewer"),IF(Q172="N/A approved",IF(AND(T172&lt;&gt;"",S172&lt;&gt;""),"N/A recorded","Missing applicability approval"),"Open"))</x:f>
        <x:v>Open</x:v>
      </x:c>
      <x:c r="V172" s="5" t="str">
        <x:v>Normativa/IEC 62443-4-2-2019.pdf</x:v>
      </x:c>
      <x:c r="W172" s="5" t="str">
        <x:v>SAR application and EDR finished-controller scopes are candidates. NDR requires network-device/boundary scope decision. HDR is a separate classification decision, not implied by USB/console presence.</x:v>
      </x:c>
    </x:row>
    <x:row r="173" ht="47" customHeight="1">
      <x:c r="A173" s="5" t="str">
        <x:v>COMP-NDR3-14-RE1-01</x:v>
      </x:c>
      <x:c r="B173" s="5" t="str">
        <x:v>NDR3.14-RE1</x:v>
      </x:c>
      <x:c r="C173" s="5" t="str">
        <x:v>Boot authenticity</x:v>
      </x:c>
      <x:c r="D173" s="5" t="str">
        <x:v>Verify boot firmware/software/configuration authenticity against supplier roots of trust before boot use</x:v>
      </x:c>
      <x:c r="E173" s="5" t="str">
        <x:v>Conditional mandatory</x:v>
      </x:c>
      <x:c r="F173" s="5" t="str">
        <x:v>NDR component; relevant FR SL-C &gt;= 2; feature conditions apply</x:v>
      </x:c>
      <x:c r="G173" s="5" t="n">
        <x:v>2</x:v>
      </x:c>
      <x:c r="H173" s="5" t="str">
        <x:v>15.11.3</x:v>
      </x:c>
      <x:c r="I173" s="5" t="str">
        <x:v>83-84</x:v>
      </x:c>
      <x:c r="J173" s="5" t="str">
        <x:v>81,82</x:v>
      </x:c>
      <x:c r="K173" s="5" t="str">
        <x:v>Tespro BootROM/bootloader/rootfs/recovery and fuse policy; apps/firmware-updater public TPM trust is not a complete boot chain</x:v>
      </x:c>
      <x:c r="L173" s="5" t="str">
        <x:v>Tespro platform + HiTEKS acceptance</x:v>
      </x:c>
      <x:c r="M173" s="5" t="str">
        <x:v>Supplier draft guidance only; enforced production boot chain not demonstrated</x:v>
      </x:c>
      <x:c r="N173" s="5" t="str">
        <x:v>Not demonstrated</x:v>
      </x:c>
      <x:c r="O173" s="5" t="str">
        <x:v>Exact production board/image tests reject altered/unauthorized boot inputs and prove protected trust. Verify: Verify boot firmware/software/configuration authenticity against supplier roots of trust before boot use.</x:v>
      </x:c>
      <x:c r="P173" s="10" t="str"/>
      <x:c r="Q173" s="10" t="str">
        <x:v>Open</x:v>
      </x:c>
      <x:c r="R173" s="10" t="str"/>
      <x:c r="S173" s="10" t="str"/>
      <x:c r="T173" s="10" t="str"/>
      <x:c r="U173" s="5" t="str">
        <x:f>IF(Q173="Closed",IF(AND(R173&lt;&gt;"",S173&lt;&gt;""),"Closed recorded","Missing evidence/reviewer"),IF(Q173="N/A approved",IF(AND(T173&lt;&gt;"",S173&lt;&gt;""),"N/A recorded","Missing applicability approval"),"Open"))</x:f>
        <x:v>Open</x:v>
      </x:c>
      <x:c r="V173" s="5" t="str">
        <x:v>Normativa/IEC 62443-4-2-2019.pdf</x:v>
      </x:c>
      <x:c r="W173" s="5" t="str"/>
    </x:row>
    <x:row r="174" ht="36" customHeight="1">
      <x:c r="A174" s="5" t="str">
        <x:v>COMP-NDR5-2-01</x:v>
      </x:c>
      <x:c r="B174" s="5" t="str">
        <x:v>NDR5.2</x:v>
      </x:c>
      <x:c r="C174" s="5" t="str">
        <x:v>Zone boundary protection</x:v>
      </x:c>
      <x:c r="D174" s="5" t="str">
        <x:v>Monitor/control communications at zone boundaries</x:v>
      </x:c>
      <x:c r="E174" s="5" t="str">
        <x:v>Conditional mandatory</x:v>
      </x:c>
      <x:c r="F174" s="5" t="str">
        <x:v>Component classified as NDR; relevant FR SL-C &gt;= 1; feature conditions apply</x:v>
      </x:c>
      <x:c r="G174" s="5" t="n">
        <x:v>1</x:v>
      </x:c>
      <x:c r="H174" s="5" t="str">
        <x:v>15.12.1</x:v>
      </x:c>
      <x:c r="I174" s="5" t="str">
        <x:v>84</x:v>
      </x:c>
      <x:c r="J174" s="5" t="str">
        <x:v>82</x:v>
      </x:c>
      <x:c r="K174" s="5" t="str">
        <x:v>OpenWrt UCI/nftables and management listeners; core/policy/net_policy.cpp is a placeholder; effective OS policy is the enforcement point</x:v>
      </x:c>
      <x:c r="L174" s="5" t="str">
        <x:v>Tespro platform + HiTEKS integration</x:v>
      </x:c>
      <x:c r="M174" s="5" t="str">
        <x:v>Not demonstrated</x:v>
      </x:c>
      <x:c r="N174" s="5" t="str">
        <x:v>Not demonstrated</x:v>
      </x:c>
      <x:c r="O174" s="5" t="str">
        <x:v>Inspect effective firewall and test allowed/denied traffic, boot/reload persistence and failure paths. Verify: Monitor/control communications at zone boundaries.</x:v>
      </x:c>
      <x:c r="P174" s="10" t="str"/>
      <x:c r="Q174" s="10" t="str">
        <x:v>Open</x:v>
      </x:c>
      <x:c r="R174" s="10" t="str"/>
      <x:c r="S174" s="10" t="str"/>
      <x:c r="T174" s="10" t="str"/>
      <x:c r="U174" s="5" t="str">
        <x:f>IF(Q174="Closed",IF(AND(R174&lt;&gt;"",S174&lt;&gt;""),"Closed recorded","Missing evidence/reviewer"),IF(Q174="N/A approved",IF(AND(T174&lt;&gt;"",S174&lt;&gt;""),"N/A recorded","Missing applicability approval"),"Open"))</x:f>
        <x:v>Open</x:v>
      </x:c>
      <x:c r="V174" s="5" t="str">
        <x:v>Normativa/IEC 62443-4-2-2019.pdf</x:v>
      </x:c>
      <x:c r="W174" s="5" t="str">
        <x:v>SAR application and EDR finished-controller scopes are candidates. NDR requires network-device/boundary scope decision. HDR is a separate classification decision, not implied by USB/console presence.</x:v>
      </x:c>
    </x:row>
    <x:row r="175" ht="36" customHeight="1">
      <x:c r="A175" s="5" t="str">
        <x:v>COMP-NDR5-2-02</x:v>
      </x:c>
      <x:c r="B175" s="5" t="str">
        <x:v>NDR5.2</x:v>
      </x:c>
      <x:c r="C175" s="5" t="str">
        <x:v>Zone boundary protection</x:v>
      </x:c>
      <x:c r="D175" s="5" t="str">
        <x:v>Enforce segmentation for the defined security zones/conduits</x:v>
      </x:c>
      <x:c r="E175" s="5" t="str">
        <x:v>Conditional mandatory</x:v>
      </x:c>
      <x:c r="F175" s="5" t="str">
        <x:v>Component classified as NDR; relevant FR SL-C &gt;= 1; feature conditions apply</x:v>
      </x:c>
      <x:c r="G175" s="5" t="n">
        <x:v>1</x:v>
      </x:c>
      <x:c r="H175" s="5" t="str">
        <x:v>15.12.1</x:v>
      </x:c>
      <x:c r="I175" s="5" t="str">
        <x:v>84</x:v>
      </x:c>
      <x:c r="J175" s="5" t="str">
        <x:v>82</x:v>
      </x:c>
      <x:c r="K175" s="5" t="str">
        <x:v>OpenWrt UCI/nftables and management listeners; core/policy/net_policy.cpp is a placeholder; effective OS policy is the enforcement point</x:v>
      </x:c>
      <x:c r="L175" s="5" t="str">
        <x:v>Tespro platform + HiTEKS integration</x:v>
      </x:c>
      <x:c r="M175" s="5" t="str">
        <x:v>Not demonstrated</x:v>
      </x:c>
      <x:c r="N175" s="5" t="str">
        <x:v>Not demonstrated</x:v>
      </x:c>
      <x:c r="O175" s="5" t="str">
        <x:v>Inspect effective firewall and test allowed/denied traffic, boot/reload persistence and failure paths. Verify: Enforce segmentation for the defined security zones/conduits.</x:v>
      </x:c>
      <x:c r="P175" s="10" t="str"/>
      <x:c r="Q175" s="10" t="str">
        <x:v>Open</x:v>
      </x:c>
      <x:c r="R175" s="10" t="str"/>
      <x:c r="S175" s="10" t="str"/>
      <x:c r="T175" s="10" t="str"/>
      <x:c r="U175" s="5" t="str">
        <x:f>IF(Q175="Closed",IF(AND(R175&lt;&gt;"",S175&lt;&gt;""),"Closed recorded","Missing evidence/reviewer"),IF(Q175="N/A approved",IF(AND(T175&lt;&gt;"",S175&lt;&gt;""),"N/A recorded","Missing applicability approval"),"Open"))</x:f>
        <x:v>Open</x:v>
      </x:c>
      <x:c r="V175" s="5" t="str">
        <x:v>Normativa/IEC 62443-4-2-2019.pdf</x:v>
      </x:c>
      <x:c r="W175" s="5" t="str">
        <x:v>SAR application and EDR finished-controller scopes are candidates. NDR requires network-device/boundary scope decision. HDR is a separate classification decision, not implied by USB/console presence.</x:v>
      </x:c>
    </x:row>
    <x:row r="176" ht="36" customHeight="1">
      <x:c r="A176" s="5" t="str">
        <x:v>COMP-NDR5-2-RE1-01</x:v>
      </x:c>
      <x:c r="B176" s="5" t="str">
        <x:v>NDR5.2-RE1</x:v>
      </x:c>
      <x:c r="C176" s="5" t="str">
        <x:v>Default deny</x:v>
      </x:c>
      <x:c r="D176" s="5" t="str">
        <x:v>Deny network traffic by default and allow only explicit exceptions</x:v>
      </x:c>
      <x:c r="E176" s="5" t="str">
        <x:v>Conditional mandatory</x:v>
      </x:c>
      <x:c r="F176" s="5" t="str">
        <x:v>NDR component; relevant FR SL-C &gt;= 2</x:v>
      </x:c>
      <x:c r="G176" s="5" t="n">
        <x:v>2</x:v>
      </x:c>
      <x:c r="H176" s="5" t="str">
        <x:v>15.12.3</x:v>
      </x:c>
      <x:c r="I176" s="5" t="str">
        <x:v>84</x:v>
      </x:c>
      <x:c r="J176" s="5" t="str">
        <x:v>82</x:v>
      </x:c>
      <x:c r="K176" s="5" t="str">
        <x:v>OpenWrt UCI/nftables and management listeners; core/policy/net_policy.cpp is a placeholder; effective OS policy is the enforcement point</x:v>
      </x:c>
      <x:c r="L176" s="5" t="str">
        <x:v>Tespro platform + HiTEKS integration</x:v>
      </x:c>
      <x:c r="M176" s="5" t="str">
        <x:v>Not demonstrated</x:v>
      </x:c>
      <x:c r="N176" s="5" t="str">
        <x:v>Not demonstrated</x:v>
      </x:c>
      <x:c r="O176" s="5" t="str">
        <x:v>Inspect effective firewall and test allowed/denied traffic, boot/reload persistence and failure paths. Verify: Deny network traffic by default and allow only explicit exceptions.</x:v>
      </x:c>
      <x:c r="P176" s="10" t="str"/>
      <x:c r="Q176" s="10" t="str">
        <x:v>Open</x:v>
      </x:c>
      <x:c r="R176" s="10" t="str"/>
      <x:c r="S176" s="10" t="str"/>
      <x:c r="T176" s="10" t="str"/>
      <x:c r="U176" s="5" t="str">
        <x:f>IF(Q176="Closed",IF(AND(R176&lt;&gt;"",S176&lt;&gt;""),"Closed recorded","Missing evidence/reviewer"),IF(Q176="N/A approved",IF(AND(T176&lt;&gt;"",S176&lt;&gt;""),"N/A recorded","Missing applicability approval"),"Open"))</x:f>
        <x:v>Open</x:v>
      </x:c>
      <x:c r="V176" s="5" t="str">
        <x:v>Normativa/IEC 62443-4-2-2019.pdf</x:v>
      </x:c>
      <x:c r="W176" s="5" t="str"/>
    </x:row>
    <x:row r="177" ht="36" customHeight="1">
      <x:c r="A177" s="5" t="str">
        <x:v>COMP-NDR5-2-RE2-01</x:v>
      </x:c>
      <x:c r="B177" s="5" t="str">
        <x:v>NDR5.2-RE2</x:v>
      </x:c>
      <x:c r="C177" s="5" t="str">
        <x:v>Island mode</x:v>
      </x:c>
      <x:c r="D177" s="5" t="str">
        <x:v>Support blocking all communication through the control-system boundary</x:v>
      </x:c>
      <x:c r="E177" s="5" t="str">
        <x:v>Conditional mandatory</x:v>
      </x:c>
      <x:c r="F177" s="5" t="str">
        <x:v>NDR component; relevant FR SL-C &gt;= 3</x:v>
      </x:c>
      <x:c r="G177" s="5" t="n">
        <x:v>3</x:v>
      </x:c>
      <x:c r="H177" s="5" t="str">
        <x:v>15.12.3</x:v>
      </x:c>
      <x:c r="I177" s="5" t="str">
        <x:v>84</x:v>
      </x:c>
      <x:c r="J177" s="5" t="str">
        <x:v>82</x:v>
      </x:c>
      <x:c r="K177" s="5" t="str">
        <x:v>OpenWrt UCI/nftables and management listeners; core/policy/net_policy.cpp is a placeholder; effective OS policy is the enforcement point</x:v>
      </x:c>
      <x:c r="L177" s="5" t="str">
        <x:v>Tespro platform + HiTEKS integration</x:v>
      </x:c>
      <x:c r="M177" s="5" t="str">
        <x:v>Not demonstrated</x:v>
      </x:c>
      <x:c r="N177" s="5" t="str">
        <x:v>Not demonstrated</x:v>
      </x:c>
      <x:c r="O177" s="5" t="str">
        <x:v>Inspect effective firewall and test allowed/denied traffic, boot/reload persistence and failure paths. Verify: Support blocking all communication through the control-system boundary.</x:v>
      </x:c>
      <x:c r="P177" s="10" t="str"/>
      <x:c r="Q177" s="10" t="str">
        <x:v>Open</x:v>
      </x:c>
      <x:c r="R177" s="10" t="str"/>
      <x:c r="S177" s="10" t="str"/>
      <x:c r="T177" s="10" t="str"/>
      <x:c r="U177" s="5" t="str">
        <x:f>IF(Q177="Closed",IF(AND(R177&lt;&gt;"",S177&lt;&gt;""),"Closed recorded","Missing evidence/reviewer"),IF(Q177="N/A approved",IF(AND(T177&lt;&gt;"",S177&lt;&gt;""),"N/A recorded","Missing applicability approval"),"Open"))</x:f>
        <x:v>Open</x:v>
      </x:c>
      <x:c r="V177" s="5" t="str">
        <x:v>Normativa/IEC 62443-4-2-2019.pdf</x:v>
      </x:c>
      <x:c r="W177" s="5" t="str"/>
    </x:row>
    <x:row r="178" ht="36" customHeight="1">
      <x:c r="A178" s="5" t="str">
        <x:v>COMP-NDR5-2-RE3-01</x:v>
      </x:c>
      <x:c r="B178" s="5" t="str">
        <x:v>NDR5.2-RE3</x:v>
      </x:c>
      <x:c r="C178" s="5" t="str">
        <x:v>Fail close</x:v>
      </x:c>
      <x:c r="D178" s="5" t="str">
        <x:v>Block communication through the boundary when protection mechanisms fail</x:v>
      </x:c>
      <x:c r="E178" s="5" t="str">
        <x:v>Conditional mandatory</x:v>
      </x:c>
      <x:c r="F178" s="5" t="str">
        <x:v>NDR component; relevant FR SL-C &gt;= 3</x:v>
      </x:c>
      <x:c r="G178" s="5" t="n">
        <x:v>3</x:v>
      </x:c>
      <x:c r="H178" s="5" t="str">
        <x:v>15.12.3</x:v>
      </x:c>
      <x:c r="I178" s="5" t="str">
        <x:v>84</x:v>
      </x:c>
      <x:c r="J178" s="5" t="str">
        <x:v>82</x:v>
      </x:c>
      <x:c r="K178" s="5" t="str">
        <x:v>OpenWrt UCI/nftables and management listeners; core/policy/net_policy.cpp is a placeholder; effective OS policy is the enforcement point</x:v>
      </x:c>
      <x:c r="L178" s="5" t="str">
        <x:v>Tespro platform + HiTEKS integration</x:v>
      </x:c>
      <x:c r="M178" s="5" t="str">
        <x:v>Not demonstrated</x:v>
      </x:c>
      <x:c r="N178" s="5" t="str">
        <x:v>Not demonstrated</x:v>
      </x:c>
      <x:c r="O178" s="5" t="str">
        <x:v>Inspect effective firewall and test allowed/denied traffic, boot/reload persistence and failure paths. Verify: Block communication through the boundary when protection mechanisms fail.</x:v>
      </x:c>
      <x:c r="P178" s="10" t="str"/>
      <x:c r="Q178" s="10" t="str">
        <x:v>Open</x:v>
      </x:c>
      <x:c r="R178" s="10" t="str"/>
      <x:c r="S178" s="10" t="str"/>
      <x:c r="T178" s="10" t="str"/>
      <x:c r="U178" s="5" t="str">
        <x:f>IF(Q178="Closed",IF(AND(R178&lt;&gt;"",S178&lt;&gt;""),"Closed recorded","Missing evidence/reviewer"),IF(Q178="N/A approved",IF(AND(T178&lt;&gt;"",S178&lt;&gt;""),"N/A recorded","Missing applicability approval"),"Open"))</x:f>
        <x:v>Open</x:v>
      </x:c>
      <x:c r="V178" s="5" t="str">
        <x:v>Normativa/IEC 62443-4-2-2019.pdf</x:v>
      </x:c>
      <x:c r="W178" s="5" t="str"/>
    </x:row>
    <x:row r="179" ht="47" customHeight="1">
      <x:c r="A179" s="5" t="str">
        <x:v>COMP-NDR5-3-01</x:v>
      </x:c>
      <x:c r="B179" s="5" t="str">
        <x:v>NDR5.3</x:v>
      </x:c>
      <x:c r="C179" s="5" t="str">
        <x:v>Person-to-person traffic restriction</x:v>
      </x:c>
      <x:c r="D179" s="5" t="str">
        <x:v>Protect zone boundaries from general-purpose person-to-person communications from outside the control system</x:v>
      </x:c>
      <x:c r="E179" s="5" t="str">
        <x:v>Conditional mandatory</x:v>
      </x:c>
      <x:c r="F179" s="5" t="str">
        <x:v>Component classified as NDR; relevant FR SL-C &gt;= 1; feature conditions apply</x:v>
      </x:c>
      <x:c r="G179" s="5" t="n">
        <x:v>1</x:v>
      </x:c>
      <x:c r="H179" s="5" t="str">
        <x:v>15.13.1</x:v>
      </x:c>
      <x:c r="I179" s="5" t="str">
        <x:v>85</x:v>
      </x:c>
      <x:c r="J179" s="5" t="str">
        <x:v>83</x:v>
      </x:c>
      <x:c r="K179" s="5" t="str">
        <x:v>OpenWrt UCI/nftables and management listeners; core/policy/net_policy.cpp is a placeholder; effective OS policy is the enforcement point</x:v>
      </x:c>
      <x:c r="L179" s="5" t="str">
        <x:v>Tespro platform + HiTEKS integration</x:v>
      </x:c>
      <x:c r="M179" s="5" t="str">
        <x:v>Not demonstrated</x:v>
      </x:c>
      <x:c r="N179" s="5" t="str">
        <x:v>Not demonstrated</x:v>
      </x:c>
      <x:c r="O179" s="5" t="str">
        <x:v>Inspect effective firewall and test allowed/denied traffic, boot/reload persistence and failure paths. Verify: Protect zone boundaries from general-purpose person-to-person communications from outside the control system.</x:v>
      </x:c>
      <x:c r="P179" s="10" t="str"/>
      <x:c r="Q179" s="10" t="str">
        <x:v>Open</x:v>
      </x:c>
      <x:c r="R179" s="10" t="str"/>
      <x:c r="S179" s="10" t="str"/>
      <x:c r="T179" s="10" t="str"/>
      <x:c r="U179" s="5" t="str">
        <x:f>IF(Q179="Closed",IF(AND(R179&lt;&gt;"",S179&lt;&gt;""),"Closed recorded","Missing evidence/reviewer"),IF(Q179="N/A approved",IF(AND(T179&lt;&gt;"",S179&lt;&gt;""),"N/A recorded","Missing applicability approval"),"Open"))</x:f>
        <x:v>Open</x:v>
      </x:c>
      <x:c r="V179" s="5" t="str">
        <x:v>Normativa/IEC 62443-4-2-2019.pdf</x:v>
      </x:c>
      <x:c r="W179" s="5" t="str">
        <x:v>SAR application and EDR finished-controller scopes are candidates. NDR requires network-device/boundary scope decision. HDR is a separate classification decision, not implied by USB/console presence.</x:v>
      </x:c>
    </x:row>
  </x:sheetData>
  <x:conditionalFormatting sqref="U7:U179">
    <x:cfRule type="containsText" dxfId="2" priority="1" operator="containsText" text="Missing"/>
  </x:conditionalFormatting>
  <x:conditionalFormatting sqref="Q7:Q179">
    <x:cfRule type="containsText" dxfId="3" priority="2" operator="containsText" text="review"/>
  </x:conditionalFormatting>
  <x:dataValidations count="1">
    <x:dataValidation type="list" sqref="Q7:Q179">
      <x:formula1>"Open,In progress,Ready for review,Closed,N/A requested,N/A 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f1f7ec90c247b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1" hidden="0" customWidth="1"/>
    <x:col min="4" max="4" width="74" hidden="0" customWidth="1"/>
    <x:col min="5" max="5" width="27" hidden="0" customWidth="1"/>
    <x:col min="6" max="6" width="57" hidden="0" customWidth="1"/>
    <x:col min="7" max="7" width="12" hidden="0" customWidth="1"/>
    <x:col min="8" max="8" width="28" hidden="0" customWidth="1"/>
    <x:col min="9" max="9" width="15" hidden="0" customWidth="1"/>
    <x:col min="10" max="10" width="15" hidden="0" customWidth="1"/>
    <x:col min="11" max="11" width="78" hidden="0" customWidth="1"/>
    <x:col min="12" max="12" width="37" hidden="0" customWidth="1"/>
    <x:col min="13" max="13" width="72" hidden="0" customWidth="1"/>
    <x:col min="14" max="14" width="72" hidden="0" customWidth="1"/>
    <x:col min="15" max="15" width="90" hidden="0" customWidth="1"/>
    <x:col min="16" max="16" width="28" hidden="0" customWidth="1"/>
    <x:col min="17" max="17" width="23" hidden="0" customWidth="1"/>
    <x:col min="18" max="18" width="65" hidden="0" customWidth="1"/>
    <x:col min="19" max="19" width="28" hidden="0" customWidth="1"/>
    <x:col min="20" max="20" width="65" hidden="0" customWidth="1"/>
    <x:col min="21" max="21" width="31" hidden="0" customWidth="1"/>
    <x:col min="22" max="22" width="65" hidden="0" customWidth="1"/>
    <x:col min="23" max="23" width="90" hidden="0" customWidth="1"/>
  </x:cols>
  <x:sheetData>
    <x:row r="2">
      <x:c r="A2" s="1" t="str">
        <x:v>EN IEC 62351-3:2023 implementation tasks</x:v>
      </x:c>
    </x:row>
    <x:row r="4">
      <x:c r="A4" s="2" t="str">
        <x:v>Filter Normative class and Applicability condition. All tasks remain open until evidence and review are recorded.</x:v>
      </x:c>
    </x:row>
    <x:row r="6" ht="34" customHeight="1">
      <x:c r="A6" s="9" t="str">
        <x:v>Task ID</x:v>
      </x:c>
      <x:c r="B6" s="9" t="str">
        <x:v>Requirement reference</x:v>
      </x:c>
      <x:c r="C6" s="9" t="str">
        <x:v>Topic</x:v>
      </x:c>
      <x:c r="D6" s="9" t="str">
        <x:v>Required implementation / evidence</x:v>
      </x:c>
      <x:c r="E6" s="9" t="str">
        <x:v>Normative class</x:v>
      </x:c>
      <x:c r="F6" s="9" t="str">
        <x:v>Applicability condition</x:v>
      </x:c>
      <x:c r="G6" s="9" t="str">
        <x:v>Min FR SL-C</x:v>
      </x:c>
      <x:c r="H6" s="9" t="str">
        <x:v>Source clause / table</x:v>
      </x:c>
      <x:c r="I6" s="9" t="str">
        <x:v>PDF pages</x:v>
      </x:c>
      <x:c r="J6" s="9" t="str">
        <x:v>Printed pages</x:v>
      </x:c>
      <x:c r="K6" s="9" t="str">
        <x:v>Code / architecture / process location</x:v>
      </x:c>
      <x:c r="L6" s="9" t="str">
        <x:v>Suggested responsible role</x:v>
      </x:c>
      <x:c r="M6" s="9" t="str">
        <x:v>Merged source evidence / gap</x:v>
      </x:c>
      <x:c r="N6" s="9" t="str">
        <x:v>GitHub main evidence / gap</x:v>
      </x:c>
      <x:c r="O6" s="9" t="str">
        <x:v>Acceptance verification</x:v>
      </x:c>
      <x:c r="P6" s="9" t="str">
        <x:v>Assigned person</x:v>
      </x:c>
      <x:c r="Q6" s="9" t="str">
        <x:v>Delivery status</x:v>
      </x:c>
      <x:c r="R6" s="9" t="str">
        <x:v>Evidence record / link</x:v>
      </x:c>
      <x:c r="S6" s="9" t="str">
        <x:v>Reviewer</x:v>
      </x:c>
      <x:c r="T6" s="9" t="str">
        <x:v>Applicability decision / reason</x:v>
      </x:c>
      <x:c r="U6" s="9" t="str">
        <x:v>Closure check</x:v>
      </x:c>
      <x:c r="V6" s="9" t="str">
        <x:v>Source file</x:v>
      </x:c>
      <x:c r="W6" s="9" t="str">
        <x:v>Interpretation / scan notes</x:v>
      </x:c>
    </x:row>
    <x:row r="7" ht="36" customHeight="1">
      <x:c r="A7" s="5" t="str">
        <x:v>TLS-GEN-01-01</x:v>
      </x:c>
      <x:c r="B7" s="5" t="str">
        <x:v>GEN-01</x:v>
      </x:c>
      <x:c r="C7" s="5" t="str">
        <x:v>Successful handshake event</x:v>
      </x:c>
      <x:c r="D7" s="5" t="str">
        <x:v>Raise notice after successful TLS handshake</x:v>
      </x:c>
      <x:c r="E7" s="5" t="str">
        <x:v>Mandatory</x:v>
      </x:c>
      <x:c r="F7" s="5" t="str">
        <x:v>All TLS</x:v>
      </x:c>
      <x:c r="G7" s="5" t="str"/>
      <x:c r="H7" s="5" t="str">
        <x:v>6.1</x:v>
      </x:c>
      <x:c r="I7" s="5" t="str">
        <x:v>23</x:v>
      </x:c>
      <x:c r="J7" s="5" t="str">
        <x:v>15</x:v>
      </x:c>
      <x:c r="K7" s="5" t="str">
        <x:v>apps/ccli/core/event/event_store.cpp; adapters/iec61850_mms/mms_adapter.cpp; OpenWrt logging/collector configuration</x:v>
      </x:c>
      <x:c r="L7" s="5" t="str">
        <x:v>HiTEKS firmware/platform leads</x:v>
      </x:c>
      <x:c r="M7" s="5" t="str">
        <x:v>Existing implementation area; requirement acceptance open</x:v>
      </x:c>
      <x:c r="N7" s="5" t="str">
        <x:v>Not demonstrated</x:v>
      </x:c>
      <x:c r="O7" s="5" t="str">
        <x:v>Generate required events; verify fields, permissions, retention, failure response and receiver records. Verify: Raise notice after successful TLS handshake.</x:v>
      </x:c>
      <x:c r="P7" s="10" t="str"/>
      <x:c r="Q7" s="10" t="str">
        <x:v>Open</x:v>
      </x:c>
      <x:c r="R7" s="10" t="str"/>
      <x:c r="S7" s="10" t="str"/>
      <x:c r="T7" s="10" t="str"/>
      <x:c r="U7" s="5" t="str">
        <x:f>IF(Q7="Closed",IF(AND(R7&lt;&gt;"",S7&lt;&gt;""),"Closed recorded","Missing evidence/reviewer"),IF(Q7="N/A approved",IF(AND(T7&lt;&gt;"",S7&lt;&gt;""),"N/A recorded","Missing applicability approval"),"Open"))</x:f>
        <x:v>Open</x:v>
      </x:c>
      <x:c r="V7" s="5" t="str">
        <x:v>Normativa/EN IEC 62351-3-2023.pdf</x:v>
      </x:c>
      <x:c r="W7" s="5" t="str"/>
    </x:row>
    <x:row r="8" ht="36" customHeight="1">
      <x:c r="A8" s="5" t="str">
        <x:v>TLS-GEN-02-01</x:v>
      </x:c>
      <x:c r="B8" s="5" t="str">
        <x:v>GEN-02</x:v>
      </x:c>
      <x:c r="C8" s="5" t="str">
        <x:v>Port declaration</x:v>
      </x:c>
      <x:c r="D8" s="5" t="str">
        <x:v>Specify TLS-protected port in the referencing protocol profile</x:v>
      </x:c>
      <x:c r="E8" s="5" t="str">
        <x:v>Mandatory</x:v>
      </x:c>
      <x:c r="F8" s="5" t="str">
        <x:v>Referencing protocol</x:v>
      </x:c>
      <x:c r="G8" s="5" t="str"/>
      <x:c r="H8" s="5" t="str">
        <x:v>6.1</x:v>
      </x:c>
      <x:c r="I8" s="5" t="str">
        <x:v>23</x:v>
      </x:c>
      <x:c r="J8" s="5" t="str">
        <x:v>15</x:v>
      </x:c>
      <x:c r="K8" s="5" t="str">
        <x:v>Architecture/CCI_Runtime_Dataflow_Architecture.md; Architecture/Software_Architecture.md; knowledge-base/08-engineering/CCI_62443_Zones.md</x:v>
      </x:c>
      <x:c r="L8" s="5" t="str">
        <x:v>HiTEKS architect</x:v>
      </x:c>
      <x:c r="M8" s="5" t="str">
        <x:v>Not demonstrated</x:v>
      </x:c>
      <x:c r="N8" s="5" t="str">
        <x:v>Not demonstrated</x:v>
      </x:c>
      <x:c r="O8" s="5" t="str">
        <x:v>Approved design/traceability review; exercise the relevant trust boundary and record residual risks. Verify: Specify TLS-protected port in the referencing protocol profile.</x:v>
      </x:c>
      <x:c r="P8" s="10" t="str"/>
      <x:c r="Q8" s="10" t="str">
        <x:v>Open</x:v>
      </x:c>
      <x:c r="R8" s="10" t="str"/>
      <x:c r="S8" s="10" t="str"/>
      <x:c r="T8" s="10" t="str"/>
      <x:c r="U8" s="5" t="str">
        <x:f>IF(Q8="Closed",IF(AND(R8&lt;&gt;"",S8&lt;&gt;""),"Closed recorded","Missing evidence/reviewer"),IF(Q8="N/A approved",IF(AND(T8&lt;&gt;"",S8&lt;&gt;""),"N/A recorded","Missing applicability approval"),"Open"))</x:f>
        <x:v>Open</x:v>
      </x:c>
      <x:c r="V8" s="5" t="str">
        <x:v>Normativa/EN IEC 62351-3-2023.pdf</x:v>
      </x:c>
      <x:c r="W8" s="5" t="str"/>
    </x:row>
    <x:row r="9" ht="36" customHeight="1">
      <x:c r="A9" s="5" t="str">
        <x:v>TLS-VER-01-01</x:v>
      </x:c>
      <x:c r="B9" s="5" t="str">
        <x:v>VER-01</x:v>
      </x:c>
      <x:c r="C9" s="5" t="str">
        <x:v>TLS 1.2 support</x:v>
      </x:c>
      <x:c r="D9" s="5" t="str">
        <x:v>Support TLS 1.2 as the default required version</x:v>
      </x:c>
      <x:c r="E9" s="5" t="str">
        <x:v>Mandatory</x:v>
      </x:c>
      <x:c r="F9" s="5" t="str">
        <x:v>All TLS</x:v>
      </x:c>
      <x:c r="G9" s="5" t="str"/>
      <x:c r="H9" s="5" t="str">
        <x:v>6.2</x:v>
      </x:c>
      <x:c r="I9" s="5" t="str">
        <x:v>23</x:v>
      </x:c>
      <x:c r="J9" s="5" t="str">
        <x:v>15</x:v>
      </x:c>
      <x:c r="K9" s="5" t="str">
        <x:v>apps/ccli/third_party/libiec61850/hal/tls/mbedtls3; adapters/iec61850_mms/mms_adapter.cpp; adapters/iec60870_104/iec104_tls.cpp; cmake/tls_allowlist_validation.cmake</x:v>
      </x:c>
      <x:c r="L9" s="5" t="str">
        <x:v>HiTEKS security + Tespro platform</x:v>
      </x:c>
      <x:c r="M9" s="5" t="str">
        <x:v>Existing implementation area; requirement acceptance open</x:v>
      </x:c>
      <x:c r="N9" s="5" t="str">
        <x:v>Not demonstrated</x:v>
      </x:c>
      <x:c r="O9" s="5" t="str">
        <x:v>Frozen-build algorithm/policy tests, key handling review and negative negotiation evidence. Verify: Support TLS 1.2 as the default required version.</x:v>
      </x:c>
      <x:c r="P9" s="10" t="str"/>
      <x:c r="Q9" s="10" t="str">
        <x:v>Open</x:v>
      </x:c>
      <x:c r="R9" s="10" t="str"/>
      <x:c r="S9" s="10" t="str"/>
      <x:c r="T9" s="10" t="str"/>
      <x:c r="U9" s="5" t="str">
        <x:f>IF(Q9="Closed",IF(AND(R9&lt;&gt;"",S9&lt;&gt;""),"Closed recorded","Missing evidence/reviewer"),IF(Q9="N/A approved",IF(AND(T9&lt;&gt;"",S9&lt;&gt;""),"N/A recorded","Missing applicability approval"),"Open"))</x:f>
        <x:v>Open</x:v>
      </x:c>
      <x:c r="V9" s="5" t="str">
        <x:v>Normativa/EN IEC 62351-3-2023.pdf</x:v>
      </x:c>
      <x:c r="W9" s="5" t="str"/>
    </x:row>
    <x:row r="10" ht="36" customHeight="1">
      <x:c r="A10" s="5" t="str">
        <x:v>TLS-VER-02-01</x:v>
      </x:c>
      <x:c r="B10" s="5" t="str">
        <x:v>VER-02</x:v>
      </x:c>
      <x:c r="C10" s="5" t="str">
        <x:v>Version negotiation</x:v>
      </x:c>
      <x:c r="D10" s="5" t="str">
        <x:v>Use built-in TLS version negotiation</x:v>
      </x:c>
      <x:c r="E10" s="5" t="str">
        <x:v>Mandatory</x:v>
      </x:c>
      <x:c r="F10" s="5" t="str">
        <x:v>TLS client</x:v>
      </x:c>
      <x:c r="G10" s="5" t="str"/>
      <x:c r="H10" s="5" t="str">
        <x:v>6.2</x:v>
      </x:c>
      <x:c r="I10" s="5" t="str">
        <x:v>23</x:v>
      </x:c>
      <x:c r="J10" s="5" t="str">
        <x:v>15</x:v>
      </x:c>
      <x:c r="K10" s="5" t="str">
        <x:v>apps/ccli/third_party/libiec61850/hal/tls/mbedtls3; adapters/iec61850_mms/mms_adapter.cpp; adapters/iec60870_104/iec104_tls.cpp; cmake/tls_allowlist_validation.cmake</x:v>
      </x:c>
      <x:c r="L10" s="5" t="str">
        <x:v>HiTEKS security + Tespro platform</x:v>
      </x:c>
      <x:c r="M10" s="5" t="str">
        <x:v>Existing implementation area; requirement acceptance open</x:v>
      </x:c>
      <x:c r="N10" s="5" t="str">
        <x:v>Not demonstrated</x:v>
      </x:c>
      <x:c r="O10" s="5" t="str">
        <x:v>Frozen-build algorithm/policy tests, key handling review and negative negotiation evidence. Verify: Use built-in TLS version negotiation.</x:v>
      </x:c>
      <x:c r="P10" s="10" t="str"/>
      <x:c r="Q10" s="10" t="str">
        <x:v>Open</x:v>
      </x:c>
      <x:c r="R10" s="10" t="str"/>
      <x:c r="S10" s="10" t="str"/>
      <x:c r="T10" s="10" t="str"/>
      <x:c r="U10" s="5" t="str">
        <x:f>IF(Q10="Closed",IF(AND(R10&lt;&gt;"",S10&lt;&gt;""),"Closed recorded","Missing evidence/reviewer"),IF(Q10="N/A approved",IF(AND(T10&lt;&gt;"",S10&lt;&gt;""),"N/A recorded","Missing applicability approval"),"Open"))</x:f>
        <x:v>Open</x:v>
      </x:c>
      <x:c r="V10" s="5" t="str">
        <x:v>Normativa/EN IEC 62351-3-2023.pdf</x:v>
      </x:c>
      <x:c r="W10" s="5" t="str"/>
    </x:row>
    <x:row r="11" ht="36" customHeight="1">
      <x:c r="A11" s="5" t="str">
        <x:v>TLS-VER-02-02</x:v>
      </x:c>
      <x:c r="B11" s="5" t="str">
        <x:v>VER-02</x:v>
      </x:c>
      <x:c r="C11" s="5" t="str">
        <x:v>Version negotiation</x:v>
      </x:c>
      <x:c r="D11" s="5" t="str">
        <x:v>Signal highest supported/permitted version in ClientHello</x:v>
      </x:c>
      <x:c r="E11" s="5" t="str">
        <x:v>Mandatory</x:v>
      </x:c>
      <x:c r="F11" s="5" t="str">
        <x:v>TLS client</x:v>
      </x:c>
      <x:c r="G11" s="5" t="str"/>
      <x:c r="H11" s="5" t="str">
        <x:v>6.2</x:v>
      </x:c>
      <x:c r="I11" s="5" t="str">
        <x:v>23</x:v>
      </x:c>
      <x:c r="J11" s="5" t="str">
        <x:v>15</x:v>
      </x:c>
      <x:c r="K11" s="5" t="str">
        <x:v>apps/ccli/third_party/libiec61850/hal/tls/mbedtls3; adapters/iec61850_mms/mms_adapter.cpp; adapters/iec60870_104/iec104_tls.cpp; cmake/tls_allowlist_validation.cmake</x:v>
      </x:c>
      <x:c r="L11" s="5" t="str">
        <x:v>HiTEKS security + Tespro platform</x:v>
      </x:c>
      <x:c r="M11" s="5" t="str">
        <x:v>Existing implementation area; requirement acceptance open</x:v>
      </x:c>
      <x:c r="N11" s="5" t="str">
        <x:v>Not demonstrated</x:v>
      </x:c>
      <x:c r="O11" s="5" t="str">
        <x:v>Frozen-build algorithm/policy tests, key handling review and negative negotiation evidence. Verify: Signal highest supported/permitted version in ClientHello.</x:v>
      </x:c>
      <x:c r="P11" s="10" t="str"/>
      <x:c r="Q11" s="10" t="str">
        <x:v>Open</x:v>
      </x:c>
      <x:c r="R11" s="10" t="str"/>
      <x:c r="S11" s="10" t="str"/>
      <x:c r="T11" s="10" t="str"/>
      <x:c r="U11" s="5" t="str">
        <x:f>IF(Q11="Closed",IF(AND(R11&lt;&gt;"",S11&lt;&gt;""),"Closed recorded","Missing evidence/reviewer"),IF(Q11="N/A approved",IF(AND(T11&lt;&gt;"",S11&lt;&gt;""),"N/A recorded","Missing applicability approval"),"Open"))</x:f>
        <x:v>Open</x:v>
      </x:c>
      <x:c r="V11" s="5" t="str">
        <x:v>Normativa/EN IEC 62351-3-2023.pdf</x:v>
      </x:c>
      <x:c r="W11" s="5" t="str"/>
    </x:row>
    <x:row r="12" ht="36" customHeight="1">
      <x:c r="A12" s="5" t="str">
        <x:v>TLS-VER-02-03</x:v>
      </x:c>
      <x:c r="B12" s="5" t="str">
        <x:v>VER-02</x:v>
      </x:c>
      <x:c r="C12" s="5" t="str">
        <x:v>Version negotiation</x:v>
      </x:c>
      <x:c r="D12" s="5" t="str">
        <x:v>Use 0x0303 for TLS1.2 ProtocolVersion</x:v>
      </x:c>
      <x:c r="E12" s="5" t="str">
        <x:v>Mandatory</x:v>
      </x:c>
      <x:c r="F12" s="5" t="str">
        <x:v>TLS client</x:v>
      </x:c>
      <x:c r="G12" s="5" t="str"/>
      <x:c r="H12" s="5" t="str">
        <x:v>6.2</x:v>
      </x:c>
      <x:c r="I12" s="5" t="str">
        <x:v>23</x:v>
      </x:c>
      <x:c r="J12" s="5" t="str">
        <x:v>15</x:v>
      </x:c>
      <x:c r="K12" s="5" t="str">
        <x:v>apps/ccli/third_party/libiec61850/hal/tls/mbedtls3; adapters/iec61850_mms/mms_adapter.cpp; adapters/iec60870_104/iec104_tls.cpp; cmake/tls_allowlist_validation.cmake</x:v>
      </x:c>
      <x:c r="L12" s="5" t="str">
        <x:v>HiTEKS security + Tespro platform</x:v>
      </x:c>
      <x:c r="M12" s="5" t="str">
        <x:v>Existing implementation area; requirement acceptance open</x:v>
      </x:c>
      <x:c r="N12" s="5" t="str">
        <x:v>Not demonstrated</x:v>
      </x:c>
      <x:c r="O12" s="5" t="str">
        <x:v>Frozen-build algorithm/policy tests, key handling review and negative negotiation evidence. Verify: Use 0x0303 for TLS1.2 ProtocolVersion.</x:v>
      </x:c>
      <x:c r="P12" s="10" t="str"/>
      <x:c r="Q12" s="10" t="str">
        <x:v>Open</x:v>
      </x:c>
      <x:c r="R12" s="10" t="str"/>
      <x:c r="S12" s="10" t="str"/>
      <x:c r="T12" s="10" t="str"/>
      <x:c r="U12" s="5" t="str">
        <x:f>IF(Q12="Closed",IF(AND(R12&lt;&gt;"",S12&lt;&gt;""),"Closed recorded","Missing evidence/reviewer"),IF(Q12="N/A approved",IF(AND(T12&lt;&gt;"",S12&lt;&gt;""),"N/A recorded","Missing applicability approval"),"Open"))</x:f>
        <x:v>Open</x:v>
      </x:c>
      <x:c r="V12" s="5" t="str">
        <x:v>Normativa/EN IEC 62351-3-2023.pdf</x:v>
      </x:c>
      <x:c r="W12" s="5" t="str"/>
    </x:row>
    <x:row r="13" ht="36" customHeight="1">
      <x:c r="A13" s="5" t="str">
        <x:v>TLS-VER-03-01</x:v>
      </x:c>
      <x:c r="B13" s="5" t="str">
        <x:v>VER-03</x:v>
      </x:c>
      <x:c r="C13" s="5" t="str">
        <x:v>TLS1.3 version indication</x:v>
      </x:c>
      <x:c r="D13" s="5" t="str">
        <x:v>Signal TLS1.3 as 0x0304 in supported_versions</x:v>
      </x:c>
      <x:c r="E13" s="5" t="str">
        <x:v>Conditional mandatory</x:v>
      </x:c>
      <x:c r="F13" s="5" t="str">
        <x:v>TLS1.3 supported</x:v>
      </x:c>
      <x:c r="G13" s="5" t="str"/>
      <x:c r="H13" s="5" t="str">
        <x:v>6.2</x:v>
      </x:c>
      <x:c r="I13" s="5" t="str">
        <x:v>23</x:v>
      </x:c>
      <x:c r="J13" s="5" t="str">
        <x:v>15</x:v>
      </x:c>
      <x:c r="K13" s="5" t="str">
        <x:v>apps/ccli/third_party/libiec61850/hal/tls/mbedtls3; adapters/iec61850_mms/mms_adapter.cpp; adapters/iec60870_104/iec104_tls.cpp; cmake/tls_allowlist_validation.cmake</x:v>
      </x:c>
      <x:c r="L13" s="5" t="str">
        <x:v>HiTEKS security + Tespro platform</x:v>
      </x:c>
      <x:c r="M13" s="5" t="str">
        <x:v>Existing implementation area; requirement acceptance open</x:v>
      </x:c>
      <x:c r="N13" s="5" t="str">
        <x:v>Not demonstrated</x:v>
      </x:c>
      <x:c r="O13" s="5" t="str">
        <x:v>Frozen-build algorithm/policy tests, key handling review and negative negotiation evidence. Verify: Signal TLS1.3 as 0x0304 in supported_versions.</x:v>
      </x:c>
      <x:c r="P13" s="10" t="str"/>
      <x:c r="Q13" s="10" t="str">
        <x:v>Open</x:v>
      </x:c>
      <x:c r="R13" s="10" t="str"/>
      <x:c r="S13" s="10" t="str"/>
      <x:c r="T13" s="10" t="str"/>
      <x:c r="U13" s="5" t="str">
        <x:f>IF(Q13="Closed",IF(AND(R13&lt;&gt;"",S13&lt;&gt;""),"Closed recorded","Missing evidence/reviewer"),IF(Q13="N/A approved",IF(AND(T13&lt;&gt;"",S13&lt;&gt;""),"N/A recorded","Missing applicability approval"),"Open"))</x:f>
        <x:v>Open</x:v>
      </x:c>
      <x:c r="V13" s="5" t="str">
        <x:v>Normativa/EN IEC 62351-3-2023.pdf</x:v>
      </x:c>
      <x:c r="W13" s="5" t="str"/>
    </x:row>
    <x:row r="14" ht="36" customHeight="1">
      <x:c r="A14" s="5" t="str">
        <x:v>TLS-VER-04-01</x:v>
      </x:c>
      <x:c r="B14" s="5" t="str">
        <x:v>VER-04</x:v>
      </x:c>
      <x:c r="C14" s="5" t="str">
        <x:v>Legacy TLS safeguards</x:v>
      </x:c>
      <x:c r="D14" s="5" t="str">
        <x:v>Disable legacy-only TLS1.0/1.1 by default</x:v>
      </x:c>
      <x:c r="E14" s="5" t="str">
        <x:v>Conditional mandatory</x:v>
      </x:c>
      <x:c r="F14" s="5" t="str">
        <x:v>Legacy TLS optionally implemented</x:v>
      </x:c>
      <x:c r="G14" s="5" t="str"/>
      <x:c r="H14" s="5" t="str">
        <x:v>6.2</x:v>
      </x:c>
      <x:c r="I14" s="5" t="str">
        <x:v>24</x:v>
      </x:c>
      <x:c r="J14" s="5" t="str">
        <x:v>16</x:v>
      </x:c>
      <x:c r="K14" s="5" t="str">
        <x:v>apps/ccli/third_party/libiec61850/hal/tls/mbedtls3; adapters/iec61850_mms/mms_adapter.cpp; adapters/iec60870_104/iec104_tls.cpp; cmake/tls_allowlist_validation.cmake</x:v>
      </x:c>
      <x:c r="L14" s="5" t="str">
        <x:v>HiTEKS security + Tespro platform</x:v>
      </x:c>
      <x:c r="M14" s="5" t="str">
        <x:v>Existing implementation area; requirement acceptance open</x:v>
      </x:c>
      <x:c r="N14" s="5" t="str">
        <x:v>Not demonstrated</x:v>
      </x:c>
      <x:c r="O14" s="5" t="str">
        <x:v>Frozen-build algorithm/policy tests, key handling review and negative negotiation evidence. Verify: Disable legacy-only TLS1.0/1.1 by default.</x:v>
      </x:c>
      <x:c r="P14" s="10" t="str"/>
      <x:c r="Q14" s="10" t="str">
        <x:v>Open</x:v>
      </x:c>
      <x:c r="R14" s="10" t="str"/>
      <x:c r="S14" s="10" t="str"/>
      <x:c r="T14" s="10" t="str"/>
      <x:c r="U14" s="5" t="str">
        <x:f>IF(Q14="Closed",IF(AND(R14&lt;&gt;"",S14&lt;&gt;""),"Closed recorded","Missing evidence/reviewer"),IF(Q14="N/A approved",IF(AND(T14&lt;&gt;"",S14&lt;&gt;""),"N/A recorded","Missing applicability approval"),"Open"))</x:f>
        <x:v>Open</x:v>
      </x:c>
      <x:c r="V14" s="5" t="str">
        <x:v>Normativa/EN IEC 62351-3-2023.pdf</x:v>
      </x:c>
      <x:c r="W14" s="5" t="str"/>
    </x:row>
    <x:row r="15" ht="36" customHeight="1">
      <x:c r="A15" s="5" t="str">
        <x:v>TLS-VER-04-02</x:v>
      </x:c>
      <x:c r="B15" s="5" t="str">
        <x:v>VER-04</x:v>
      </x:c>
      <x:c r="C15" s="5" t="str">
        <x:v>Legacy TLS safeguards</x:v>
      </x:c>
      <x:c r="D15" s="5" t="str">
        <x:v>Require distinct security-policy authorization to enable legacy versions</x:v>
      </x:c>
      <x:c r="E15" s="5" t="str">
        <x:v>Conditional mandatory</x:v>
      </x:c>
      <x:c r="F15" s="5" t="str">
        <x:v>Legacy TLS optionally implemented</x:v>
      </x:c>
      <x:c r="G15" s="5" t="str"/>
      <x:c r="H15" s="5" t="str">
        <x:v>6.2</x:v>
      </x:c>
      <x:c r="I15" s="5" t="str">
        <x:v>24</x:v>
      </x:c>
      <x:c r="J15" s="5" t="str">
        <x:v>16</x:v>
      </x:c>
      <x:c r="K15" s="5" t="str">
        <x:v>apps/ccli/third_party/libiec61850/hal/tls/mbedtls3; adapters/iec61850_mms/mms_adapter.cpp; adapters/iec60870_104/iec104_tls.cpp; cmake/tls_allowlist_validation.cmake</x:v>
      </x:c>
      <x:c r="L15" s="5" t="str">
        <x:v>HiTEKS security + Tespro platform</x:v>
      </x:c>
      <x:c r="M15" s="5" t="str">
        <x:v>Existing implementation area; requirement acceptance open</x:v>
      </x:c>
      <x:c r="N15" s="5" t="str">
        <x:v>Not demonstrated</x:v>
      </x:c>
      <x:c r="O15" s="5" t="str">
        <x:v>Frozen-build algorithm/policy tests, key handling review and negative negotiation evidence. Verify: Require distinct security-policy authorization to enable legacy versions.</x:v>
      </x:c>
      <x:c r="P15" s="10" t="str"/>
      <x:c r="Q15" s="10" t="str">
        <x:v>Open</x:v>
      </x:c>
      <x:c r="R15" s="10" t="str"/>
      <x:c r="S15" s="10" t="str"/>
      <x:c r="T15" s="10" t="str"/>
      <x:c r="U15" s="5" t="str">
        <x:f>IF(Q15="Closed",IF(AND(R15&lt;&gt;"",S15&lt;&gt;""),"Closed recorded","Missing evidence/reviewer"),IF(Q15="N/A approved",IF(AND(T15&lt;&gt;"",S15&lt;&gt;""),"N/A recorded","Missing applicability approval"),"Open"))</x:f>
        <x:v>Open</x:v>
      </x:c>
      <x:c r="V15" s="5" t="str">
        <x:v>Normativa/EN IEC 62351-3-2023.pdf</x:v>
      </x:c>
      <x:c r="W15" s="5" t="str"/>
    </x:row>
    <x:row r="16" ht="36" customHeight="1">
      <x:c r="A16" s="5" t="str">
        <x:v>TLS-VER-04-03</x:v>
      </x:c>
      <x:c r="B16" s="5" t="str">
        <x:v>VER-04</x:v>
      </x:c>
      <x:c r="C16" s="5" t="str">
        <x:v>Legacy TLS safeguards</x:v>
      </x:c>
      <x:c r="D16" s="5" t="str">
        <x:v>When disabled, alarm and refuse legacy-only proposals</x:v>
      </x:c>
      <x:c r="E16" s="5" t="str">
        <x:v>Conditional mandatory</x:v>
      </x:c>
      <x:c r="F16" s="5" t="str">
        <x:v>Legacy TLS optionally implemented</x:v>
      </x:c>
      <x:c r="G16" s="5" t="str"/>
      <x:c r="H16" s="5" t="str">
        <x:v>6.2</x:v>
      </x:c>
      <x:c r="I16" s="5" t="str">
        <x:v>24</x:v>
      </x:c>
      <x:c r="J16" s="5" t="str">
        <x:v>16</x:v>
      </x:c>
      <x:c r="K16" s="5" t="str">
        <x:v>apps/ccli/third_party/libiec61850/hal/tls/mbedtls3; adapters/iec61850_mms/mms_adapter.cpp; adapters/iec60870_104/iec104_tls.cpp; cmake/tls_allowlist_validation.cmake</x:v>
      </x:c>
      <x:c r="L16" s="5" t="str">
        <x:v>HiTEKS security + Tespro platform</x:v>
      </x:c>
      <x:c r="M16" s="5" t="str">
        <x:v>Existing implementation area; requirement acceptance open</x:v>
      </x:c>
      <x:c r="N16" s="5" t="str">
        <x:v>Not demonstrated</x:v>
      </x:c>
      <x:c r="O16" s="5" t="str">
        <x:v>Frozen-build algorithm/policy tests, key handling review and negative negotiation evidence. Verify: When disabled, alarm and refuse legacy-only proposals.</x:v>
      </x:c>
      <x:c r="P16" s="10" t="str"/>
      <x:c r="Q16" s="10" t="str">
        <x:v>Open</x:v>
      </x:c>
      <x:c r="R16" s="10" t="str"/>
      <x:c r="S16" s="10" t="str"/>
      <x:c r="T16" s="10" t="str"/>
      <x:c r="U16" s="5" t="str">
        <x:f>IF(Q16="Closed",IF(AND(R16&lt;&gt;"",S16&lt;&gt;""),"Closed recorded","Missing evidence/reviewer"),IF(Q16="N/A approved",IF(AND(T16&lt;&gt;"",S16&lt;&gt;""),"N/A recorded","Missing applicability approval"),"Open"))</x:f>
        <x:v>Open</x:v>
      </x:c>
      <x:c r="V16" s="5" t="str">
        <x:v>Normativa/EN IEC 62351-3-2023.pdf</x:v>
      </x:c>
      <x:c r="W16" s="5" t="str"/>
    </x:row>
    <x:row r="17" ht="36" customHeight="1">
      <x:c r="A17" s="5" t="str">
        <x:v>TLS-VER-04-04</x:v>
      </x:c>
      <x:c r="B17" s="5" t="str">
        <x:v>VER-04</x:v>
      </x:c>
      <x:c r="C17" s="5" t="str">
        <x:v>Legacy TLS safeguards</x:v>
      </x:c>
      <x:c r="D17" s="5" t="str">
        <x:v>When enabled, warn on insecure-version proposals</x:v>
      </x:c>
      <x:c r="E17" s="5" t="str">
        <x:v>Conditional mandatory</x:v>
      </x:c>
      <x:c r="F17" s="5" t="str">
        <x:v>Legacy TLS optionally implemented</x:v>
      </x:c>
      <x:c r="G17" s="5" t="str"/>
      <x:c r="H17" s="5" t="str">
        <x:v>6.2</x:v>
      </x:c>
      <x:c r="I17" s="5" t="str">
        <x:v>24</x:v>
      </x:c>
      <x:c r="J17" s="5" t="str">
        <x:v>16</x:v>
      </x:c>
      <x:c r="K17" s="5" t="str">
        <x:v>apps/ccli/third_party/libiec61850/hal/tls/mbedtls3; adapters/iec61850_mms/mms_adapter.cpp; adapters/iec60870_104/iec104_tls.cpp; cmake/tls_allowlist_validation.cmake</x:v>
      </x:c>
      <x:c r="L17" s="5" t="str">
        <x:v>HiTEKS security + Tespro platform</x:v>
      </x:c>
      <x:c r="M17" s="5" t="str">
        <x:v>Existing implementation area; requirement acceptance open</x:v>
      </x:c>
      <x:c r="N17" s="5" t="str">
        <x:v>Not demonstrated</x:v>
      </x:c>
      <x:c r="O17" s="5" t="str">
        <x:v>Frozen-build algorithm/policy tests, key handling review and negative negotiation evidence. Verify: When enabled, warn on insecure-version proposals.</x:v>
      </x:c>
      <x:c r="P17" s="10" t="str"/>
      <x:c r="Q17" s="10" t="str">
        <x:v>Open</x:v>
      </x:c>
      <x:c r="R17" s="10" t="str"/>
      <x:c r="S17" s="10" t="str"/>
      <x:c r="T17" s="10" t="str"/>
      <x:c r="U17" s="5" t="str">
        <x:f>IF(Q17="Closed",IF(AND(R17&lt;&gt;"",S17&lt;&gt;""),"Closed recorded","Missing evidence/reviewer"),IF(Q17="N/A approved",IF(AND(T17&lt;&gt;"",S17&lt;&gt;""),"N/A recorded","Missing applicability approval"),"Open"))</x:f>
        <x:v>Open</x:v>
      </x:c>
      <x:c r="V17" s="5" t="str">
        <x:v>Normativa/EN IEC 62351-3-2023.pdf</x:v>
      </x:c>
      <x:c r="W17" s="5" t="str"/>
    </x:row>
    <x:row r="18" ht="36" customHeight="1">
      <x:c r="A18" s="5" t="str">
        <x:v>TLS-VER-05-01</x:v>
      </x:c>
      <x:c r="B18" s="5" t="str">
        <x:v>VER-05</x:v>
      </x:c>
      <x:c r="C18" s="5" t="str">
        <x:v>Reject pre-TLS1.0</x:v>
      </x:c>
      <x:c r="D18" s="5" t="str">
        <x:v>Do not use versions before TLS1.0</x:v>
      </x:c>
      <x:c r="E18" s="5" t="str">
        <x:v>Prohibited</x:v>
      </x:c>
      <x:c r="F18" s="5" t="str">
        <x:v>All TLS</x:v>
      </x:c>
      <x:c r="G18" s="5" t="str"/>
      <x:c r="H18" s="5" t="str">
        <x:v>6.2</x:v>
      </x:c>
      <x:c r="I18" s="5" t="str">
        <x:v>24</x:v>
      </x:c>
      <x:c r="J18" s="5" t="str">
        <x:v>16</x:v>
      </x:c>
      <x:c r="K18" s="5" t="str">
        <x:v>apps/ccli/third_party/libiec61850/hal/tls/mbedtls3; adapters/iec61850_mms/mms_adapter.cpp; adapters/iec60870_104/iec104_tls.cpp; cmake/tls_allowlist_validation.cmake</x:v>
      </x:c>
      <x:c r="L18" s="5" t="str">
        <x:v>HiTEKS security + Tespro platform</x:v>
      </x:c>
      <x:c r="M18" s="5" t="str">
        <x:v>Existing implementation area; requirement acceptance open</x:v>
      </x:c>
      <x:c r="N18" s="5" t="str">
        <x:v>Not demonstrated</x:v>
      </x:c>
      <x:c r="O18" s="5" t="str">
        <x:v>Frozen-build algorithm/policy tests, key handling review and negative negotiation evidence. Verify: Do not use versions before TLS1.0.</x:v>
      </x:c>
      <x:c r="P18" s="10" t="str"/>
      <x:c r="Q18" s="10" t="str">
        <x:v>Open</x:v>
      </x:c>
      <x:c r="R18" s="10" t="str"/>
      <x:c r="S18" s="10" t="str"/>
      <x:c r="T18" s="10" t="str"/>
      <x:c r="U18" s="5" t="str">
        <x:f>IF(Q18="Closed",IF(AND(R18&lt;&gt;"",S18&lt;&gt;""),"Closed recorded","Missing evidence/reviewer"),IF(Q18="N/A approved",IF(AND(T18&lt;&gt;"",S18&lt;&gt;""),"N/A recorded","Missing applicability approval"),"Open"))</x:f>
        <x:v>Open</x:v>
      </x:c>
      <x:c r="V18" s="5" t="str">
        <x:v>Normativa/EN IEC 62351-3-2023.pdf</x:v>
      </x:c>
      <x:c r="W18" s="5" t="str"/>
    </x:row>
    <x:row r="19" ht="36" customHeight="1">
      <x:c r="A19" s="5" t="str">
        <x:v>TLS-VER-05-02</x:v>
      </x:c>
      <x:c r="B19" s="5" t="str">
        <x:v>VER-05</x:v>
      </x:c>
      <x:c r="C19" s="5" t="str">
        <x:v>Reject pre-TLS1.0</x:v>
      </x:c>
      <x:c r="D19" s="5" t="str">
        <x:v>Raise alarm and terminate prohibited-version proposals</x:v>
      </x:c>
      <x:c r="E19" s="5" t="str">
        <x:v>Prohibited</x:v>
      </x:c>
      <x:c r="F19" s="5" t="str">
        <x:v>All TLS</x:v>
      </x:c>
      <x:c r="G19" s="5" t="str"/>
      <x:c r="H19" s="5" t="str">
        <x:v>6.2</x:v>
      </x:c>
      <x:c r="I19" s="5" t="str">
        <x:v>24</x:v>
      </x:c>
      <x:c r="J19" s="5" t="str">
        <x:v>16</x:v>
      </x:c>
      <x:c r="K19" s="5" t="str">
        <x:v>apps/ccli/third_party/libiec61850/hal/tls/mbedtls3; adapters/iec61850_mms/mms_adapter.cpp; adapters/iec60870_104/iec104_tls.cpp; cmake/tls_allowlist_validation.cmake</x:v>
      </x:c>
      <x:c r="L19" s="5" t="str">
        <x:v>HiTEKS security + Tespro platform</x:v>
      </x:c>
      <x:c r="M19" s="5" t="str">
        <x:v>Existing implementation area; requirement acceptance open</x:v>
      </x:c>
      <x:c r="N19" s="5" t="str">
        <x:v>Not demonstrated</x:v>
      </x:c>
      <x:c r="O19" s="5" t="str">
        <x:v>Frozen-build algorithm/policy tests, key handling review and negative negotiation evidence. Verify: Raise alarm and terminate prohibited-version proposals.</x:v>
      </x:c>
      <x:c r="P19" s="10" t="str"/>
      <x:c r="Q19" s="10" t="str">
        <x:v>Open</x:v>
      </x:c>
      <x:c r="R19" s="10" t="str"/>
      <x:c r="S19" s="10" t="str"/>
      <x:c r="T19" s="10" t="str"/>
      <x:c r="U19" s="5" t="str">
        <x:f>IF(Q19="Closed",IF(AND(R19&lt;&gt;"",S19&lt;&gt;""),"Closed recorded","Missing evidence/reviewer"),IF(Q19="N/A approved",IF(AND(T19&lt;&gt;"",S19&lt;&gt;""),"N/A recorded","Missing applicability approval"),"Open"))</x:f>
        <x:v>Open</x:v>
      </x:c>
      <x:c r="V19" s="5" t="str">
        <x:v>Normativa/EN IEC 62351-3-2023.pdf</x:v>
      </x:c>
      <x:c r="W19" s="5" t="str"/>
    </x:row>
    <x:row r="20" ht="36" customHeight="1">
      <x:c r="A20" s="5" t="str">
        <x:v>TLS-VER-06-01</x:v>
      </x:c>
      <x:c r="B20" s="5" t="str">
        <x:v>VER-06</x:v>
      </x:c>
      <x:c r="C20" s="5" t="str">
        <x:v>Prevent version change</x:v>
      </x:c>
      <x:c r="D20" s="5" t="str">
        <x:v>Terminate when negotiated version changes from the original handshake</x:v>
      </x:c>
      <x:c r="E20" s="5" t="str">
        <x:v>Mandatory</x:v>
      </x:c>
      <x:c r="F20" s="5" t="str">
        <x:v>Resumption/renegotiation</x:v>
      </x:c>
      <x:c r="G20" s="5" t="str"/>
      <x:c r="H20" s="5" t="str">
        <x:v>6.2</x:v>
      </x:c>
      <x:c r="I20" s="5" t="str">
        <x:v>24</x:v>
      </x:c>
      <x:c r="J20" s="5" t="str">
        <x:v>16</x:v>
      </x:c>
      <x:c r="K20" s="5" t="str">
        <x:v>apps/ccli/third_party/libiec61850/hal/tls/mbedtls3; adapters/iec61850_mms/mms_adapter.cpp; adapters/iec60870_104/iec104_tls.cpp; cmake/tls_allowlist_validation.cmake</x:v>
      </x:c>
      <x:c r="L20" s="5" t="str">
        <x:v>HiTEKS security + Tespro platform</x:v>
      </x:c>
      <x:c r="M20" s="5" t="str">
        <x:v>Existing implementation area; requirement acceptance open</x:v>
      </x:c>
      <x:c r="N20" s="5" t="str">
        <x:v>Not demonstrated</x:v>
      </x:c>
      <x:c r="O20" s="5" t="str">
        <x:v>Frozen-build algorithm/policy tests, key handling review and negative negotiation evidence. Verify: Terminate when negotiated version changes from the original handshake.</x:v>
      </x:c>
      <x:c r="P20" s="10" t="str"/>
      <x:c r="Q20" s="10" t="str">
        <x:v>Open</x:v>
      </x:c>
      <x:c r="R20" s="10" t="str"/>
      <x:c r="S20" s="10" t="str"/>
      <x:c r="T20" s="10" t="str"/>
      <x:c r="U20" s="5" t="str">
        <x:f>IF(Q20="Closed",IF(AND(R20&lt;&gt;"",S20&lt;&gt;""),"Closed recorded","Missing evidence/reviewer"),IF(Q20="N/A approved",IF(AND(T20&lt;&gt;"",S20&lt;&gt;""),"N/A recorded","Missing applicability approval"),"Open"))</x:f>
        <x:v>Open</x:v>
      </x:c>
      <x:c r="V20" s="5" t="str">
        <x:v>Normativa/EN IEC 62351-3-2023.pdf</x:v>
      </x:c>
      <x:c r="W20" s="5" t="str"/>
    </x:row>
    <x:row r="21" ht="36" customHeight="1">
      <x:c r="A21" s="5" t="str">
        <x:v>TLS-VER-06-02</x:v>
      </x:c>
      <x:c r="B21" s="5" t="str">
        <x:v>VER-06</x:v>
      </x:c>
      <x:c r="C21" s="5" t="str">
        <x:v>Prevent version change</x:v>
      </x:c>
      <x:c r="D21" s="5" t="str">
        <x:v>Raise version-change/potential-downgrade alarm</x:v>
      </x:c>
      <x:c r="E21" s="5" t="str">
        <x:v>Mandatory</x:v>
      </x:c>
      <x:c r="F21" s="5" t="str">
        <x:v>Resumption/renegotiation</x:v>
      </x:c>
      <x:c r="G21" s="5" t="str"/>
      <x:c r="H21" s="5" t="str">
        <x:v>6.2</x:v>
      </x:c>
      <x:c r="I21" s="5" t="str">
        <x:v>24</x:v>
      </x:c>
      <x:c r="J21" s="5" t="str">
        <x:v>16</x:v>
      </x:c>
      <x:c r="K21" s="5" t="str">
        <x:v>apps/ccli/third_party/libiec61850/hal/tls/mbedtls3; adapters/iec61850_mms/mms_adapter.cpp; adapters/iec60870_104/iec104_tls.cpp; cmake/tls_allowlist_validation.cmake</x:v>
      </x:c>
      <x:c r="L21" s="5" t="str">
        <x:v>HiTEKS security + Tespro platform</x:v>
      </x:c>
      <x:c r="M21" s="5" t="str">
        <x:v>Existing implementation area; requirement acceptance open</x:v>
      </x:c>
      <x:c r="N21" s="5" t="str">
        <x:v>Not demonstrated</x:v>
      </x:c>
      <x:c r="O21" s="5" t="str">
        <x:v>Frozen-build algorithm/policy tests, key handling review and negative negotiation evidence. Verify: Raise version-change/potential-downgrade alarm.</x:v>
      </x:c>
      <x:c r="P21" s="10" t="str"/>
      <x:c r="Q21" s="10" t="str">
        <x:v>Open</x:v>
      </x:c>
      <x:c r="R21" s="10" t="str"/>
      <x:c r="S21" s="10" t="str"/>
      <x:c r="T21" s="10" t="str"/>
      <x:c r="U21" s="5" t="str">
        <x:f>IF(Q21="Closed",IF(AND(R21&lt;&gt;"",S21&lt;&gt;""),"Closed recorded","Missing evidence/reviewer"),IF(Q21="N/A approved",IF(AND(T21&lt;&gt;"",S21&lt;&gt;""),"N/A recorded","Missing applicability approval"),"Open"))</x:f>
        <x:v>Open</x:v>
      </x:c>
      <x:c r="V21" s="5" t="str">
        <x:v>Normativa/EN IEC 62351-3-2023.pdf</x:v>
      </x:c>
      <x:c r="W21" s="5" t="str"/>
    </x:row>
    <x:row r="22" ht="36" customHeight="1">
      <x:c r="A22" s="5" t="str">
        <x:v>TLS-NULL-01-01</x:v>
      </x:c>
      <x:c r="B22" s="5" t="str">
        <x:v>NULL-01</x:v>
      </x:c>
      <x:c r="C22" s="5" t="str">
        <x:v>No clear integrity-only link</x:v>
      </x:c>
      <x:c r="D22" s="5" t="str">
        <x:v>Do not use NULL-encryption cipher suites</x:v>
      </x:c>
      <x:c r="E22" s="5" t="str">
        <x:v>Prohibited</x:v>
      </x:c>
      <x:c r="F22" s="5" t="str">
        <x:v>Outside administrative domain without other guaranteed encryption</x:v>
      </x:c>
      <x:c r="G22" s="5" t="str"/>
      <x:c r="H22" s="5" t="str">
        <x:v>6.3</x:v>
      </x:c>
      <x:c r="I22" s="5" t="str">
        <x:v>24</x:v>
      </x:c>
      <x:c r="J22" s="5" t="str">
        <x:v>16</x:v>
      </x:c>
      <x:c r="K22" s="5" t="str">
        <x:v>OpenWrt UCI/nftables and management listeners; core/policy/net_policy.cpp is a placeholder; effective OS policy is the enforcement point</x:v>
      </x:c>
      <x:c r="L22" s="5" t="str">
        <x:v>Tespro platform + HiTEKS integration</x:v>
      </x:c>
      <x:c r="M22" s="5" t="str">
        <x:v>Not demonstrated</x:v>
      </x:c>
      <x:c r="N22" s="5" t="str">
        <x:v>Not demonstrated</x:v>
      </x:c>
      <x:c r="O22" s="5" t="str">
        <x:v>Inspect effective firewall and test allowed/denied traffic, boot/reload persistence and failure paths. Verify: Do not use NULL-encryption cipher suites.</x:v>
      </x:c>
      <x:c r="P22" s="10" t="str"/>
      <x:c r="Q22" s="10" t="str">
        <x:v>Open</x:v>
      </x:c>
      <x:c r="R22" s="10" t="str"/>
      <x:c r="S22" s="10" t="str"/>
      <x:c r="T22" s="10" t="str"/>
      <x:c r="U22" s="5" t="str">
        <x:f>IF(Q22="Closed",IF(AND(R22&lt;&gt;"",S22&lt;&gt;""),"Closed recorded","Missing evidence/reviewer"),IF(Q22="N/A approved",IF(AND(T22&lt;&gt;"",S22&lt;&gt;""),"N/A recorded","Missing applicability approval"),"Open"))</x:f>
        <x:v>Open</x:v>
      </x:c>
      <x:c r="V22" s="5" t="str">
        <x:v>Normativa/EN IEC 62351-3-2023.pdf</x:v>
      </x:c>
      <x:c r="W22" s="5" t="str"/>
    </x:row>
    <x:row r="23" ht="36" customHeight="1">
      <x:c r="A23" s="5" t="str">
        <x:v>TLS-NULL-02-01</x:v>
      </x:c>
      <x:c r="B23" s="5" t="str">
        <x:v>NULL-02</x:v>
      </x:c>
      <x:c r="C23" s="5" t="str">
        <x:v>Explicit integrity-only policy</x:v>
      </x:c>
      <x:c r="D23" s="5" t="str">
        <x:v>Disable non-encrypting suites by default</x:v>
      </x:c>
      <x:c r="E23" s="5" t="str">
        <x:v>Conditional mandatory</x:v>
      </x:c>
      <x:c r="F23" s="5" t="str">
        <x:v>NULL encryption implemented</x:v>
      </x:c>
      <x:c r="G23" s="5" t="str"/>
      <x:c r="H23" s="5" t="str">
        <x:v>6.3</x:v>
      </x:c>
      <x:c r="I23" s="5" t="str">
        <x:v>24</x:v>
      </x:c>
      <x:c r="J23" s="5" t="str">
        <x:v>16</x:v>
      </x:c>
      <x:c r="K23" s="5" t="str">
        <x:v>apps/ccli/third_party/libiec61850/hal/tls/mbedtls3; adapters/iec61850_mms/mms_adapter.cpp; adapters/iec60870_104/iec104_tls.cpp; cmake/tls_allowlist_validation.cmake</x:v>
      </x:c>
      <x:c r="L23" s="5" t="str">
        <x:v>HiTEKS security + Tespro platform</x:v>
      </x:c>
      <x:c r="M23" s="5" t="str">
        <x:v>Existing implementation area; requirement acceptance open</x:v>
      </x:c>
      <x:c r="N23" s="5" t="str">
        <x:v>Not demonstrated</x:v>
      </x:c>
      <x:c r="O23" s="5" t="str">
        <x:v>Frozen-build algorithm/policy tests, key handling review and negative negotiation evidence. Verify: Disable non-encrypting suites by default.</x:v>
      </x:c>
      <x:c r="P23" s="10" t="str"/>
      <x:c r="Q23" s="10" t="str">
        <x:v>Open</x:v>
      </x:c>
      <x:c r="R23" s="10" t="str"/>
      <x:c r="S23" s="10" t="str"/>
      <x:c r="T23" s="10" t="str"/>
      <x:c r="U23" s="5" t="str">
        <x:f>IF(Q23="Closed",IF(AND(R23&lt;&gt;"",S23&lt;&gt;""),"Closed recorded","Missing evidence/reviewer"),IF(Q23="N/A approved",IF(AND(T23&lt;&gt;"",S23&lt;&gt;""),"N/A recorded","Missing applicability approval"),"Open"))</x:f>
        <x:v>Open</x:v>
      </x:c>
      <x:c r="V23" s="5" t="str">
        <x:v>Normativa/EN IEC 62351-3-2023.pdf</x:v>
      </x:c>
      <x:c r="W23" s="5" t="str"/>
    </x:row>
    <x:row r="24" ht="36" customHeight="1">
      <x:c r="A24" s="5" t="str">
        <x:v>TLS-NULL-02-02</x:v>
      </x:c>
      <x:c r="B24" s="5" t="str">
        <x:v>NULL-02</x:v>
      </x:c>
      <x:c r="C24" s="5" t="str">
        <x:v>Explicit integrity-only policy</x:v>
      </x:c>
      <x:c r="D24" s="5" t="str">
        <x:v>Provide distinct explicit enabling under operator security policy</x:v>
      </x:c>
      <x:c r="E24" s="5" t="str">
        <x:v>Conditional mandatory</x:v>
      </x:c>
      <x:c r="F24" s="5" t="str">
        <x:v>NULL encryption implemented</x:v>
      </x:c>
      <x:c r="G24" s="5" t="str"/>
      <x:c r="H24" s="5" t="str">
        <x:v>6.3</x:v>
      </x:c>
      <x:c r="I24" s="5" t="str">
        <x:v>24</x:v>
      </x:c>
      <x:c r="J24" s="5" t="str">
        <x:v>16</x:v>
      </x:c>
      <x:c r="K24" s="5" t="str">
        <x:v>apps/ccli/third_party/libiec61850/hal/tls/mbedtls3; adapters/iec61850_mms/mms_adapter.cpp; adapters/iec60870_104/iec104_tls.cpp; cmake/tls_allowlist_validation.cmake</x:v>
      </x:c>
      <x:c r="L24" s="5" t="str">
        <x:v>HiTEKS security + Tespro platform</x:v>
      </x:c>
      <x:c r="M24" s="5" t="str">
        <x:v>Existing implementation area; requirement acceptance open</x:v>
      </x:c>
      <x:c r="N24" s="5" t="str">
        <x:v>Not demonstrated</x:v>
      </x:c>
      <x:c r="O24" s="5" t="str">
        <x:v>Frozen-build algorithm/policy tests, key handling review and negative negotiation evidence. Verify: Provide distinct explicit enabling under operator security policy.</x:v>
      </x:c>
      <x:c r="P24" s="10" t="str"/>
      <x:c r="Q24" s="10" t="str">
        <x:v>Open</x:v>
      </x:c>
      <x:c r="R24" s="10" t="str"/>
      <x:c r="S24" s="10" t="str"/>
      <x:c r="T24" s="10" t="str"/>
      <x:c r="U24" s="5" t="str">
        <x:f>IF(Q24="Closed",IF(AND(R24&lt;&gt;"",S24&lt;&gt;""),"Closed recorded","Missing evidence/reviewer"),IF(Q24="N/A approved",IF(AND(T24&lt;&gt;"",S24&lt;&gt;""),"N/A recorded","Missing applicability approval"),"Open"))</x:f>
        <x:v>Open</x:v>
      </x:c>
      <x:c r="V24" s="5" t="str">
        <x:v>Normativa/EN IEC 62351-3-2023.pdf</x:v>
      </x:c>
      <x:c r="W24" s="5" t="str"/>
    </x:row>
    <x:row r="25" ht="36" customHeight="1">
      <x:c r="A25" s="5" t="str">
        <x:v>TLS-CERT-01-01</x:v>
      </x:c>
      <x:c r="B25" s="5" t="str">
        <x:v>CERT-01</x:v>
      </x:c>
      <x:c r="C25" s="5" t="str">
        <x:v>Five trust anchors</x:v>
      </x:c>
      <x:c r="D25" s="5" t="str">
        <x:v>Support at least five root CA trust anchors</x:v>
      </x:c>
      <x:c r="E25" s="5" t="str">
        <x:v>Mandatory</x:v>
      </x:c>
      <x:c r="F25" s="5" t="str">
        <x:v>All TLS</x:v>
      </x:c>
      <x:c r="G25" s="5" t="str"/>
      <x:c r="H25" s="5" t="str">
        <x:v>6.4.1</x:v>
      </x:c>
      <x:c r="I25" s="5" t="str">
        <x:v>25</x:v>
      </x:c>
      <x:c r="J25" s="5" t="str">
        <x:v>17</x:v>
      </x:c>
      <x:c r="K25" s="5" t="str">
        <x:v>apps/ccli/adapters/iec61850_mms/mms_adapter.cpp; mms_rbac_security.cpp; adapters/iec60870_104/iec104_tls.cpp; core/config/ccli_config.hpp</x:v>
      </x:c>
      <x:c r="L25" s="5" t="str">
        <x:v>HiTEKS security/PKI lead</x:v>
      </x:c>
      <x:c r="M25" s="5" t="str">
        <x:v>Existing implementation area; requirement acceptance open</x:v>
      </x:c>
      <x:c r="N25" s="5" t="str">
        <x:v>Not demonstrated</x:v>
      </x:c>
      <x:c r="O25" s="5" t="str">
        <x:v>Positive and negative identity/trust/revocation tests on both claimed protocol endpoints. Verify: Support at least five root CA trust anchors.</x:v>
      </x:c>
      <x:c r="P25" s="10" t="str"/>
      <x:c r="Q25" s="10" t="str">
        <x:v>Open</x:v>
      </x:c>
      <x:c r="R25" s="10" t="str"/>
      <x:c r="S25" s="10" t="str"/>
      <x:c r="T25" s="10" t="str"/>
      <x:c r="U25" s="5" t="str">
        <x:f>IF(Q25="Closed",IF(AND(R25&lt;&gt;"",S25&lt;&gt;""),"Closed recorded","Missing evidence/reviewer"),IF(Q25="N/A approved",IF(AND(T25&lt;&gt;"",S25&lt;&gt;""),"N/A recorded","Missing applicability approval"),"Open"))</x:f>
        <x:v>Open</x:v>
      </x:c>
      <x:c r="V25" s="5" t="str">
        <x:v>Normativa/EN IEC 62351-3-2023.pdf</x:v>
      </x:c>
      <x:c r="W25" s="5" t="str"/>
    </x:row>
    <x:row r="26" ht="36" customHeight="1">
      <x:c r="A26" s="5" t="str">
        <x:v>TLS-CERT-02-01</x:v>
      </x:c>
      <x:c r="B26" s="5" t="str">
        <x:v>CERT-02</x:v>
      </x:c>
      <x:c r="C26" s="5" t="str">
        <x:v>Certificate capacity</x:v>
      </x:c>
      <x:c r="D26" s="5" t="str">
        <x:v>Handle certificate size through at least 8192 octets</x:v>
      </x:c>
      <x:c r="E26" s="5" t="str">
        <x:v>Mandatory</x:v>
      </x:c>
      <x:c r="F26" s="5" t="str">
        <x:v>All TLS</x:v>
      </x:c>
      <x:c r="G26" s="5" t="str"/>
      <x:c r="H26" s="5" t="str">
        <x:v>6.4.2</x:v>
      </x:c>
      <x:c r="I26" s="5" t="str">
        <x:v>25</x:v>
      </x:c>
      <x:c r="J26" s="5" t="str">
        <x:v>17</x:v>
      </x:c>
      <x:c r="K26" s="5" t="str">
        <x:v>apps/ccli/adapters/iec61850_mms/mms_adapter.cpp; mms_rbac_security.cpp; adapters/iec60870_104/iec104_tls.cpp; core/config/ccli_config.hpp</x:v>
      </x:c>
      <x:c r="L26" s="5" t="str">
        <x:v>HiTEKS security/PKI lead</x:v>
      </x:c>
      <x:c r="M26" s="5" t="str">
        <x:v>Existing implementation area; requirement acceptance open</x:v>
      </x:c>
      <x:c r="N26" s="5" t="str">
        <x:v>Not demonstrated</x:v>
      </x:c>
      <x:c r="O26" s="5" t="str">
        <x:v>Positive and negative identity/trust/revocation tests on both claimed protocol endpoints. Verify: Handle certificate size through at least 8192 octets.</x:v>
      </x:c>
      <x:c r="P26" s="10" t="str"/>
      <x:c r="Q26" s="10" t="str">
        <x:v>Open</x:v>
      </x:c>
      <x:c r="R26" s="10" t="str"/>
      <x:c r="S26" s="10" t="str"/>
      <x:c r="T26" s="10" t="str"/>
      <x:c r="U26" s="5" t="str">
        <x:f>IF(Q26="Closed",IF(AND(R26&lt;&gt;"",S26&lt;&gt;""),"Closed recorded","Missing evidence/reviewer"),IF(Q26="N/A approved",IF(AND(T26&lt;&gt;"",S26&lt;&gt;""),"N/A recorded","Missing applicability approval"),"Open"))</x:f>
        <x:v>Open</x:v>
      </x:c>
      <x:c r="V26" s="5" t="str">
        <x:v>Normativa/EN IEC 62351-3-2023.pdf</x:v>
      </x:c>
      <x:c r="W26" s="5" t="str"/>
    </x:row>
    <x:row r="27" ht="36" customHeight="1">
      <x:c r="A27" s="5" t="str">
        <x:v>TLS-CERT-02-02</x:v>
      </x:c>
      <x:c r="B27" s="5" t="str">
        <x:v>CERT-02</x:v>
      </x:c>
      <x:c r="C27" s="5" t="str">
        <x:v>Certificate capacity</x:v>
      </x:c>
      <x:c r="D27" s="5" t="str">
        <x:v>Document actual supported maximum certificate size</x:v>
      </x:c>
      <x:c r="E27" s="5" t="str">
        <x:v>Mandatory</x:v>
      </x:c>
      <x:c r="F27" s="5" t="str">
        <x:v>All TLS</x:v>
      </x:c>
      <x:c r="G27" s="5" t="str"/>
      <x:c r="H27" s="5" t="str">
        <x:v>6.4.2</x:v>
      </x:c>
      <x:c r="I27" s="5" t="str">
        <x:v>25</x:v>
      </x:c>
      <x:c r="J27" s="5" t="str">
        <x:v>17</x:v>
      </x:c>
      <x:c r="K27" s="5" t="str">
        <x:v>apps/ccli/adapters/iec61850_mms/mms_adapter.cpp; mms_rbac_security.cpp; adapters/iec60870_104/iec104_tls.cpp; core/config/ccli_config.hpp</x:v>
      </x:c>
      <x:c r="L27" s="5" t="str">
        <x:v>HiTEKS security/PKI lead</x:v>
      </x:c>
      <x:c r="M27" s="5" t="str">
        <x:v>Existing implementation area; requirement acceptance open</x:v>
      </x:c>
      <x:c r="N27" s="5" t="str">
        <x:v>Not demonstrated</x:v>
      </x:c>
      <x:c r="O27" s="5" t="str">
        <x:v>Positive and negative identity/trust/revocation tests on both claimed protocol endpoints. Verify: Document actual supported maximum certificate size.</x:v>
      </x:c>
      <x:c r="P27" s="10" t="str"/>
      <x:c r="Q27" s="10" t="str">
        <x:v>Open</x:v>
      </x:c>
      <x:c r="R27" s="10" t="str"/>
      <x:c r="S27" s="10" t="str"/>
      <x:c r="T27" s="10" t="str"/>
      <x:c r="U27" s="5" t="str">
        <x:f>IF(Q27="Closed",IF(AND(R27&lt;&gt;"",S27&lt;&gt;""),"Closed recorded","Missing evidence/reviewer"),IF(Q27="N/A approved",IF(AND(T27&lt;&gt;"",S27&lt;&gt;""),"N/A recorded","Missing applicability approval"),"Open"))</x:f>
        <x:v>Open</x:v>
      </x:c>
      <x:c r="V27" s="5" t="str">
        <x:v>Normativa/EN IEC 62351-3-2023.pdf</x:v>
      </x:c>
      <x:c r="W27" s="5" t="str"/>
    </x:row>
    <x:row r="28" ht="36" customHeight="1">
      <x:c r="A28" s="5" t="str">
        <x:v>TLS-CERT-02-03</x:v>
      </x:c>
      <x:c r="B28" s="5" t="str">
        <x:v>CERT-02</x:v>
      </x:c>
      <x:c r="C28" s="5" t="str">
        <x:v>Certificate capacity</x:v>
      </x:c>
      <x:c r="D28" s="5" t="str">
        <x:v>Alarm and terminate handshake when maximum is exceeded</x:v>
      </x:c>
      <x:c r="E28" s="5" t="str">
        <x:v>Mandatory</x:v>
      </x:c>
      <x:c r="F28" s="5" t="str">
        <x:v>All TLS</x:v>
      </x:c>
      <x:c r="G28" s="5" t="str"/>
      <x:c r="H28" s="5" t="str">
        <x:v>6.4.2</x:v>
      </x:c>
      <x:c r="I28" s="5" t="str">
        <x:v>25</x:v>
      </x:c>
      <x:c r="J28" s="5" t="str">
        <x:v>17</x:v>
      </x:c>
      <x:c r="K28" s="5" t="str">
        <x:v>apps/ccli/adapters/iec61850_mms/mms_adapter.cpp; mms_rbac_security.cpp; adapters/iec60870_104/iec104_tls.cpp; core/config/ccli_config.hpp</x:v>
      </x:c>
      <x:c r="L28" s="5" t="str">
        <x:v>HiTEKS security/PKI lead</x:v>
      </x:c>
      <x:c r="M28" s="5" t="str">
        <x:v>Existing implementation area; requirement acceptance open</x:v>
      </x:c>
      <x:c r="N28" s="5" t="str">
        <x:v>Not demonstrated</x:v>
      </x:c>
      <x:c r="O28" s="5" t="str">
        <x:v>Positive and negative identity/trust/revocation tests on both claimed protocol endpoints. Verify: Alarm and terminate handshake when maximum is exceeded.</x:v>
      </x:c>
      <x:c r="P28" s="10" t="str"/>
      <x:c r="Q28" s="10" t="str">
        <x:v>Open</x:v>
      </x:c>
      <x:c r="R28" s="10" t="str"/>
      <x:c r="S28" s="10" t="str"/>
      <x:c r="T28" s="10" t="str"/>
      <x:c r="U28" s="5" t="str">
        <x:f>IF(Q28="Closed",IF(AND(R28&lt;&gt;"",S28&lt;&gt;""),"Closed recorded","Missing evidence/reviewer"),IF(Q28="N/A approved",IF(AND(T28&lt;&gt;"",S28&lt;&gt;""),"N/A recorded","Missing applicability approval"),"Open"))</x:f>
        <x:v>Open</x:v>
      </x:c>
      <x:c r="V28" s="5" t="str">
        <x:v>Normativa/EN IEC 62351-3-2023.pdf</x:v>
      </x:c>
      <x:c r="W28" s="5" t="str"/>
    </x:row>
    <x:row r="29" ht="36" customHeight="1">
      <x:c r="A29" s="5" t="str">
        <x:v>TLS-CERT-03-01</x:v>
      </x:c>
      <x:c r="B29" s="5" t="str">
        <x:v>CERT-03</x:v>
      </x:c>
      <x:c r="C29" s="5" t="str">
        <x:v>Mutual certificates</x:v>
      </x:c>
      <x:c r="D29" s="5" t="str">
        <x:v>Exchange and validate certificates in both directions</x:v>
      </x:c>
      <x:c r="E29" s="5" t="str">
        <x:v>Mandatory</x:v>
      </x:c>
      <x:c r="F29" s="5" t="str">
        <x:v>Both TLS peers</x:v>
      </x:c>
      <x:c r="G29" s="5" t="str"/>
      <x:c r="H29" s="5" t="str">
        <x:v>6.4.3</x:v>
      </x:c>
      <x:c r="I29" s="5" t="str">
        <x:v>25</x:v>
      </x:c>
      <x:c r="J29" s="5" t="str">
        <x:v>17</x:v>
      </x:c>
      <x:c r="K29" s="5" t="str">
        <x:v>apps/ccli/adapters/iec61850_mms/mms_adapter.cpp; mms_rbac_security.cpp; adapters/iec60870_104/iec104_tls.cpp; core/config/ccli_config.hpp</x:v>
      </x:c>
      <x:c r="L29" s="5" t="str">
        <x:v>HiTEKS security/PKI lead</x:v>
      </x:c>
      <x:c r="M29" s="5" t="str">
        <x:v>Existing implementation area; requirement acceptance open</x:v>
      </x:c>
      <x:c r="N29" s="5" t="str">
        <x:v>Not demonstrated</x:v>
      </x:c>
      <x:c r="O29" s="5" t="str">
        <x:v>Positive and negative identity/trust/revocation tests on both claimed protocol endpoints. Verify: Exchange and validate certificates in both directions.</x:v>
      </x:c>
      <x:c r="P29" s="10" t="str"/>
      <x:c r="Q29" s="10" t="str">
        <x:v>Open</x:v>
      </x:c>
      <x:c r="R29" s="10" t="str"/>
      <x:c r="S29" s="10" t="str"/>
      <x:c r="T29" s="10" t="str"/>
      <x:c r="U29" s="5" t="str">
        <x:f>IF(Q29="Closed",IF(AND(R29&lt;&gt;"",S29&lt;&gt;""),"Closed recorded","Missing evidence/reviewer"),IF(Q29="N/A approved",IF(AND(T29&lt;&gt;"",S29&lt;&gt;""),"N/A recorded","Missing applicability approval"),"Open"))</x:f>
        <x:v>Open</x:v>
      </x:c>
      <x:c r="V29" s="5" t="str">
        <x:v>Normativa/EN IEC 62351-3-2023.pdf</x:v>
      </x:c>
      <x:c r="W29" s="5" t="str"/>
    </x:row>
    <x:row r="30" ht="36" customHeight="1">
      <x:c r="A30" s="5" t="str">
        <x:v>TLS-CERT-03-02</x:v>
      </x:c>
      <x:c r="B30" s="5" t="str">
        <x:v>CERT-03</x:v>
      </x:c>
      <x:c r="C30" s="5" t="str">
        <x:v>Mutual certificates</x:v>
      </x:c>
      <x:c r="D30" s="5" t="str">
        <x:v>Terminate when either peer certificate is missing</x:v>
      </x:c>
      <x:c r="E30" s="5" t="str">
        <x:v>Mandatory</x:v>
      </x:c>
      <x:c r="F30" s="5" t="str">
        <x:v>Both TLS peers</x:v>
      </x:c>
      <x:c r="G30" s="5" t="str"/>
      <x:c r="H30" s="5" t="str">
        <x:v>6.4.3</x:v>
      </x:c>
      <x:c r="I30" s="5" t="str">
        <x:v>25</x:v>
      </x:c>
      <x:c r="J30" s="5" t="str">
        <x:v>17</x:v>
      </x:c>
      <x:c r="K30" s="5" t="str">
        <x:v>apps/ccli/adapters/iec61850_mms/mms_adapter.cpp; mms_rbac_security.cpp; adapters/iec60870_104/iec104_tls.cpp; core/config/ccli_config.hpp</x:v>
      </x:c>
      <x:c r="L30" s="5" t="str">
        <x:v>HiTEKS security/PKI lead</x:v>
      </x:c>
      <x:c r="M30" s="5" t="str">
        <x:v>Existing implementation area; requirement acceptance open</x:v>
      </x:c>
      <x:c r="N30" s="5" t="str">
        <x:v>Not demonstrated</x:v>
      </x:c>
      <x:c r="O30" s="5" t="str">
        <x:v>Positive and negative identity/trust/revocation tests on both claimed protocol endpoints. Verify: Terminate when either peer certificate is missing.</x:v>
      </x:c>
      <x:c r="P30" s="10" t="str"/>
      <x:c r="Q30" s="10" t="str">
        <x:v>Open</x:v>
      </x:c>
      <x:c r="R30" s="10" t="str"/>
      <x:c r="S30" s="10" t="str"/>
      <x:c r="T30" s="10" t="str"/>
      <x:c r="U30" s="5" t="str">
        <x:f>IF(Q30="Closed",IF(AND(R30&lt;&gt;"",S30&lt;&gt;""),"Closed recorded","Missing evidence/reviewer"),IF(Q30="N/A approved",IF(AND(T30&lt;&gt;"",S30&lt;&gt;""),"N/A recorded","Missing applicability approval"),"Open"))</x:f>
        <x:v>Open</x:v>
      </x:c>
      <x:c r="V30" s="5" t="str">
        <x:v>Normativa/EN IEC 62351-3-2023.pdf</x:v>
      </x:c>
      <x:c r="W30" s="5" t="str"/>
    </x:row>
    <x:row r="31" ht="36" customHeight="1">
      <x:c r="A31" s="5" t="str">
        <x:v>TLS-CERT-03-03</x:v>
      </x:c>
      <x:c r="B31" s="5" t="str">
        <x:v>CERT-03</x:v>
      </x:c>
      <x:c r="C31" s="5" t="str">
        <x:v>Mutual certificates</x:v>
      </x:c>
      <x:c r="D31" s="5" t="str">
        <x:v>Raise peer-certificate-unavailable alarm</x:v>
      </x:c>
      <x:c r="E31" s="5" t="str">
        <x:v>Mandatory</x:v>
      </x:c>
      <x:c r="F31" s="5" t="str">
        <x:v>Both TLS peers</x:v>
      </x:c>
      <x:c r="G31" s="5" t="str"/>
      <x:c r="H31" s="5" t="str">
        <x:v>6.4.3</x:v>
      </x:c>
      <x:c r="I31" s="5" t="str">
        <x:v>25</x:v>
      </x:c>
      <x:c r="J31" s="5" t="str">
        <x:v>17</x:v>
      </x:c>
      <x:c r="K31" s="5" t="str">
        <x:v>apps/ccli/adapters/iec61850_mms/mms_adapter.cpp; mms_rbac_security.cpp; adapters/iec60870_104/iec104_tls.cpp; core/config/ccli_config.hpp</x:v>
      </x:c>
      <x:c r="L31" s="5" t="str">
        <x:v>HiTEKS security/PKI lead</x:v>
      </x:c>
      <x:c r="M31" s="5" t="str">
        <x:v>Existing implementation area; requirement acceptance open</x:v>
      </x:c>
      <x:c r="N31" s="5" t="str">
        <x:v>Not demonstrated</x:v>
      </x:c>
      <x:c r="O31" s="5" t="str">
        <x:v>Positive and negative identity/trust/revocation tests on both claimed protocol endpoints. Verify: Raise peer-certificate-unavailable alarm.</x:v>
      </x:c>
      <x:c r="P31" s="10" t="str"/>
      <x:c r="Q31" s="10" t="str">
        <x:v>Open</x:v>
      </x:c>
      <x:c r="R31" s="10" t="str"/>
      <x:c r="S31" s="10" t="str"/>
      <x:c r="T31" s="10" t="str"/>
      <x:c r="U31" s="5" t="str">
        <x:f>IF(Q31="Closed",IF(AND(R31&lt;&gt;"",S31&lt;&gt;""),"Closed recorded","Missing evidence/reviewer"),IF(Q31="N/A approved",IF(AND(T31&lt;&gt;"",S31&lt;&gt;""),"N/A recorded","Missing applicability approval"),"Open"))</x:f>
        <x:v>Open</x:v>
      </x:c>
      <x:c r="V31" s="5" t="str">
        <x:v>Normativa/EN IEC 62351-3-2023.pdf</x:v>
      </x:c>
      <x:c r="W31" s="5" t="str"/>
    </x:row>
    <x:row r="32" ht="36" customHeight="1">
      <x:c r="A32" s="5" t="str">
        <x:v>TLS-CERT-03-04</x:v>
      </x:c>
      <x:c r="B32" s="5" t="str">
        <x:v>CERT-03</x:v>
      </x:c>
      <x:c r="C32" s="5" t="str">
        <x:v>Mutual certificates</x:v>
      </x:c>
      <x:c r="D32" s="5" t="str">
        <x:v>Raise local-endpoint-certificate/key-unavailable alarm when inaccessible</x:v>
      </x:c>
      <x:c r="E32" s="5" t="str">
        <x:v>Mandatory</x:v>
      </x:c>
      <x:c r="F32" s="5" t="str">
        <x:v>Both TLS peers</x:v>
      </x:c>
      <x:c r="G32" s="5" t="str"/>
      <x:c r="H32" s="5" t="str">
        <x:v>6.4.3</x:v>
      </x:c>
      <x:c r="I32" s="5" t="str">
        <x:v>25</x:v>
      </x:c>
      <x:c r="J32" s="5" t="str">
        <x:v>17</x:v>
      </x:c>
      <x:c r="K32" s="5" t="str">
        <x:v>apps/ccli/adapters/iec61850_mms/mms_adapter.cpp; mms_rbac_security.cpp; adapters/iec60870_104/iec104_tls.cpp; core/config/ccli_config.hpp</x:v>
      </x:c>
      <x:c r="L32" s="5" t="str">
        <x:v>HiTEKS security/PKI lead</x:v>
      </x:c>
      <x:c r="M32" s="5" t="str">
        <x:v>Existing implementation area; requirement acceptance open</x:v>
      </x:c>
      <x:c r="N32" s="5" t="str">
        <x:v>Not demonstrated</x:v>
      </x:c>
      <x:c r="O32" s="5" t="str">
        <x:v>Positive and negative identity/trust/revocation tests on both claimed protocol endpoints. Verify: Raise local-endpoint-certificate/key-unavailable alarm when inaccessible.</x:v>
      </x:c>
      <x:c r="P32" s="10" t="str"/>
      <x:c r="Q32" s="10" t="str">
        <x:v>Open</x:v>
      </x:c>
      <x:c r="R32" s="10" t="str"/>
      <x:c r="S32" s="10" t="str"/>
      <x:c r="T32" s="10" t="str"/>
      <x:c r="U32" s="5" t="str">
        <x:f>IF(Q32="Closed",IF(AND(R32&lt;&gt;"",S32&lt;&gt;""),"Closed recorded","Missing evidence/reviewer"),IF(Q32="N/A approved",IF(AND(T32&lt;&gt;"",S32&lt;&gt;""),"N/A recorded","Missing applicability approval"),"Open"))</x:f>
        <x:v>Open</x:v>
      </x:c>
      <x:c r="V32" s="5" t="str">
        <x:v>Normativa/EN IEC 62351-3-2023.pdf</x:v>
      </x:c>
      <x:c r="W32" s="5" t="str"/>
    </x:row>
    <x:row r="33" ht="36" customHeight="1">
      <x:c r="A33" s="5" t="str">
        <x:v>TLS-CERT-04-01</x:v>
      </x:c>
      <x:c r="B33" s="5" t="str">
        <x:v>CERT-04</x:v>
      </x:c>
      <x:c r="C33" s="5" t="str">
        <x:v>Certificate validation</x:v>
      </x:c>
      <x:c r="D33" s="5" t="str">
        <x:v>Validate peer certificates</x:v>
      </x:c>
      <x:c r="E33" s="5" t="str">
        <x:v>Mandatory</x:v>
      </x:c>
      <x:c r="F33" s="5" t="str">
        <x:v>Both TLS peers</x:v>
      </x:c>
      <x:c r="G33" s="5" t="str"/>
      <x:c r="H33" s="5" t="str">
        <x:v>6.4.4.1</x:v>
      </x:c>
      <x:c r="I33" s="5" t="str">
        <x:v>26</x:v>
      </x:c>
      <x:c r="J33" s="5" t="str">
        <x:v>18</x:v>
      </x:c>
      <x:c r="K33" s="5" t="str">
        <x:v>apps/ccli/adapters/iec61850_mms/mms_adapter.cpp; mms_rbac_security.cpp; adapters/iec60870_104/iec104_tls.cpp; core/config/ccli_config.hpp</x:v>
      </x:c>
      <x:c r="L33" s="5" t="str">
        <x:v>HiTEKS security/PKI lead</x:v>
      </x:c>
      <x:c r="M33" s="5" t="str">
        <x:v>Existing implementation area; requirement acceptance open</x:v>
      </x:c>
      <x:c r="N33" s="5" t="str">
        <x:v>Not demonstrated</x:v>
      </x:c>
      <x:c r="O33" s="5" t="str">
        <x:v>Positive and negative identity/trust/revocation tests on both claimed protocol endpoints. Verify: Validate peer certificates.</x:v>
      </x:c>
      <x:c r="P33" s="10" t="str"/>
      <x:c r="Q33" s="10" t="str">
        <x:v>Open</x:v>
      </x:c>
      <x:c r="R33" s="10" t="str"/>
      <x:c r="S33" s="10" t="str"/>
      <x:c r="T33" s="10" t="str"/>
      <x:c r="U33" s="5" t="str">
        <x:f>IF(Q33="Closed",IF(AND(R33&lt;&gt;"",S33&lt;&gt;""),"Closed recorded","Missing evidence/reviewer"),IF(Q33="N/A approved",IF(AND(T33&lt;&gt;"",S33&lt;&gt;""),"N/A recorded","Missing applicability approval"),"Open"))</x:f>
        <x:v>Open</x:v>
      </x:c>
      <x:c r="V33" s="5" t="str">
        <x:v>Normativa/EN IEC 62351-3-2023.pdf</x:v>
      </x:c>
      <x:c r="W33" s="5" t="str"/>
    </x:row>
    <x:row r="34" ht="36" customHeight="1">
      <x:c r="A34" s="5" t="str">
        <x:v>TLS-CERT-04-02</x:v>
      </x:c>
      <x:c r="B34" s="5" t="str">
        <x:v>CERT-04</x:v>
      </x:c>
      <x:c r="C34" s="5" t="str">
        <x:v>Certificate validation</x:v>
      </x:c>
      <x:c r="D34" s="5" t="str">
        <x:v>Validate own certificate and required extensions before use</x:v>
      </x:c>
      <x:c r="E34" s="5" t="str">
        <x:v>Mandatory</x:v>
      </x:c>
      <x:c r="F34" s="5" t="str">
        <x:v>Both TLS peers</x:v>
      </x:c>
      <x:c r="G34" s="5" t="str"/>
      <x:c r="H34" s="5" t="str">
        <x:v>6.4.4.1</x:v>
      </x:c>
      <x:c r="I34" s="5" t="str">
        <x:v>26</x:v>
      </x:c>
      <x:c r="J34" s="5" t="str">
        <x:v>18</x:v>
      </x:c>
      <x:c r="K34" s="5" t="str">
        <x:v>apps/ccli/adapters/iec61850_mms/mms_adapter.cpp; mms_rbac_security.cpp; adapters/iec60870_104/iec104_tls.cpp; core/config/ccli_config.hpp</x:v>
      </x:c>
      <x:c r="L34" s="5" t="str">
        <x:v>HiTEKS security/PKI lead</x:v>
      </x:c>
      <x:c r="M34" s="5" t="str">
        <x:v>Existing implementation area; requirement acceptance open</x:v>
      </x:c>
      <x:c r="N34" s="5" t="str">
        <x:v>Not demonstrated</x:v>
      </x:c>
      <x:c r="O34" s="5" t="str">
        <x:v>Positive and negative identity/trust/revocation tests on both claimed protocol endpoints. Verify: Validate own certificate and required extensions before use.</x:v>
      </x:c>
      <x:c r="P34" s="10" t="str"/>
      <x:c r="Q34" s="10" t="str">
        <x:v>Open</x:v>
      </x:c>
      <x:c r="R34" s="10" t="str"/>
      <x:c r="S34" s="10" t="str"/>
      <x:c r="T34" s="10" t="str"/>
      <x:c r="U34" s="5" t="str">
        <x:f>IF(Q34="Closed",IF(AND(R34&lt;&gt;"",S34&lt;&gt;""),"Closed recorded","Missing evidence/reviewer"),IF(Q34="N/A approved",IF(AND(T34&lt;&gt;"",S34&lt;&gt;""),"N/A recorded","Missing applicability approval"),"Open"))</x:f>
        <x:v>Open</x:v>
      </x:c>
      <x:c r="V34" s="5" t="str">
        <x:v>Normativa/EN IEC 62351-3-2023.pdf</x:v>
      </x:c>
      <x:c r="W34" s="5" t="str"/>
    </x:row>
    <x:row r="35" ht="36" customHeight="1">
      <x:c r="A35" s="5" t="str">
        <x:v>TLS-CERT-04-03</x:v>
      </x:c>
      <x:c r="B35" s="5" t="str">
        <x:v>CERT-04</x:v>
      </x:c>
      <x:c r="C35" s="5" t="str">
        <x:v>Certificate validation</x:v>
      </x:c>
      <x:c r="D35" s="5" t="str">
        <x:v>Provide configurable CA-based and individual-certificate validation mechanisms</x:v>
      </x:c>
      <x:c r="E35" s="5" t="str">
        <x:v>Mandatory</x:v>
      </x:c>
      <x:c r="F35" s="5" t="str">
        <x:v>Both TLS peers</x:v>
      </x:c>
      <x:c r="G35" s="5" t="str"/>
      <x:c r="H35" s="5" t="str">
        <x:v>6.4.4.1</x:v>
      </x:c>
      <x:c r="I35" s="5" t="str">
        <x:v>26</x:v>
      </x:c>
      <x:c r="J35" s="5" t="str">
        <x:v>18</x:v>
      </x:c>
      <x:c r="K35" s="5" t="str">
        <x:v>apps/ccli/adapters/iec61850_mms/mms_adapter.cpp; mms_rbac_security.cpp; adapters/iec60870_104/iec104_tls.cpp; core/config/ccli_config.hpp</x:v>
      </x:c>
      <x:c r="L35" s="5" t="str">
        <x:v>HiTEKS security/PKI lead</x:v>
      </x:c>
      <x:c r="M35" s="5" t="str">
        <x:v>Existing implementation area; requirement acceptance open</x:v>
      </x:c>
      <x:c r="N35" s="5" t="str">
        <x:v>Not demonstrated</x:v>
      </x:c>
      <x:c r="O35" s="5" t="str">
        <x:v>Positive and negative identity/trust/revocation tests on both claimed protocol endpoints. Verify: Provide configurable CA-based and individual-certificate validation mechanisms.</x:v>
      </x:c>
      <x:c r="P35" s="10" t="str"/>
      <x:c r="Q35" s="10" t="str">
        <x:v>Open</x:v>
      </x:c>
      <x:c r="R35" s="10" t="str"/>
      <x:c r="S35" s="10" t="str"/>
      <x:c r="T35" s="10" t="str"/>
      <x:c r="U35" s="5" t="str">
        <x:f>IF(Q35="Closed",IF(AND(R35&lt;&gt;"",S35&lt;&gt;""),"Closed recorded","Missing evidence/reviewer"),IF(Q35="N/A approved",IF(AND(T35&lt;&gt;"",S35&lt;&gt;""),"N/A recorded","Missing applicability approval"),"Open"))</x:f>
        <x:v>Open</x:v>
      </x:c>
      <x:c r="V35" s="5" t="str">
        <x:v>Normativa/EN IEC 62351-3-2023.pdf</x:v>
      </x:c>
      <x:c r="W35" s="5" t="str"/>
    </x:row>
    <x:row r="36" ht="36" customHeight="1">
      <x:c r="A36" s="5" t="str">
        <x:v>TLS-CERT-05-01</x:v>
      </x:c>
      <x:c r="B36" s="5" t="str">
        <x:v>CERT-05</x:v>
      </x:c>
      <x:c r="C36" s="5" t="str">
        <x:v>CA trust mode</x:v>
      </x:c>
      <x:c r="D36" s="5" t="str">
        <x:v>Allow configuration accepting certificates from authorized CAs without individual leaf configuration</x:v>
      </x:c>
      <x:c r="E36" s="5" t="str">
        <x:v>Mandatory</x:v>
      </x:c>
      <x:c r="F36" s="5" t="str">
        <x:v>All TLS</x:v>
      </x:c>
      <x:c r="G36" s="5" t="str"/>
      <x:c r="H36" s="5" t="str">
        <x:v>6.4.4.2</x:v>
      </x:c>
      <x:c r="I36" s="5" t="str">
        <x:v>26</x:v>
      </x:c>
      <x:c r="J36" s="5" t="str">
        <x:v>18</x:v>
      </x:c>
      <x:c r="K36" s="5" t="str">
        <x:v>apps/ccli/adapters/iec61850_mms/mms_adapter.cpp; mms_rbac_security.cpp; adapters/iec60870_104/iec104_tls.cpp; core/config/ccli_config.hpp</x:v>
      </x:c>
      <x:c r="L36" s="5" t="str">
        <x:v>HiTEKS security/PKI lead</x:v>
      </x:c>
      <x:c r="M36" s="5" t="str">
        <x:v>Existing implementation area; requirement acceptance open</x:v>
      </x:c>
      <x:c r="N36" s="5" t="str">
        <x:v>Not demonstrated</x:v>
      </x:c>
      <x:c r="O36" s="5" t="str">
        <x:v>Positive and negative identity/trust/revocation tests on both claimed protocol endpoints. Verify: Allow configuration accepting certificates from authorized CAs without individual leaf configuration.</x:v>
      </x:c>
      <x:c r="P36" s="10" t="str"/>
      <x:c r="Q36" s="10" t="str">
        <x:v>Open</x:v>
      </x:c>
      <x:c r="R36" s="10" t="str"/>
      <x:c r="S36" s="10" t="str"/>
      <x:c r="T36" s="10" t="str"/>
      <x:c r="U36" s="5" t="str">
        <x:f>IF(Q36="Closed",IF(AND(R36&lt;&gt;"",S36&lt;&gt;""),"Closed recorded","Missing evidence/reviewer"),IF(Q36="N/A approved",IF(AND(T36&lt;&gt;"",S36&lt;&gt;""),"N/A recorded","Missing applicability approval"),"Open"))</x:f>
        <x:v>Open</x:v>
      </x:c>
      <x:c r="V36" s="5" t="str">
        <x:v>Normativa/EN IEC 62351-3-2023.pdf</x:v>
      </x:c>
      <x:c r="W36" s="5" t="str"/>
    </x:row>
    <x:row r="37" ht="36" customHeight="1">
      <x:c r="A37" s="5" t="str">
        <x:v>TLS-CERT-05-02</x:v>
      </x:c>
      <x:c r="B37" s="5" t="str">
        <x:v>CERT-05</x:v>
      </x:c>
      <x:c r="C37" s="5" t="str">
        <x:v>CA trust mode</x:v>
      </x:c>
      <x:c r="D37" s="5" t="str">
        <x:v>Alarm and terminate establishment when matching CA trust is unavailable</x:v>
      </x:c>
      <x:c r="E37" s="5" t="str">
        <x:v>Mandatory</x:v>
      </x:c>
      <x:c r="F37" s="5" t="str">
        <x:v>All TLS</x:v>
      </x:c>
      <x:c r="G37" s="5" t="str"/>
      <x:c r="H37" s="5" t="str">
        <x:v>6.4.4.2</x:v>
      </x:c>
      <x:c r="I37" s="5" t="str">
        <x:v>26</x:v>
      </x:c>
      <x:c r="J37" s="5" t="str">
        <x:v>18</x:v>
      </x:c>
      <x:c r="K37" s="5" t="str">
        <x:v>apps/ccli/adapters/iec61850_mms/mms_adapter.cpp; mms_rbac_security.cpp; adapters/iec60870_104/iec104_tls.cpp; core/config/ccli_config.hpp</x:v>
      </x:c>
      <x:c r="L37" s="5" t="str">
        <x:v>HiTEKS security/PKI lead</x:v>
      </x:c>
      <x:c r="M37" s="5" t="str">
        <x:v>Existing implementation area; requirement acceptance open</x:v>
      </x:c>
      <x:c r="N37" s="5" t="str">
        <x:v>Not demonstrated</x:v>
      </x:c>
      <x:c r="O37" s="5" t="str">
        <x:v>Positive and negative identity/trust/revocation tests on both claimed protocol endpoints. Verify: Alarm and terminate establishment when matching CA trust is unavailable.</x:v>
      </x:c>
      <x:c r="P37" s="10" t="str"/>
      <x:c r="Q37" s="10" t="str">
        <x:v>Open</x:v>
      </x:c>
      <x:c r="R37" s="10" t="str"/>
      <x:c r="S37" s="10" t="str"/>
      <x:c r="T37" s="10" t="str"/>
      <x:c r="U37" s="5" t="str">
        <x:f>IF(Q37="Closed",IF(AND(R37&lt;&gt;"",S37&lt;&gt;""),"Closed recorded","Missing evidence/reviewer"),IF(Q37="N/A approved",IF(AND(T37&lt;&gt;"",S37&lt;&gt;""),"N/A recorded","Missing applicability approval"),"Open"))</x:f>
        <x:v>Open</x:v>
      </x:c>
      <x:c r="V37" s="5" t="str">
        <x:v>Normativa/EN IEC 62351-3-2023.pdf</x:v>
      </x:c>
      <x:c r="W37" s="5" t="str"/>
    </x:row>
    <x:row r="38" ht="36" customHeight="1">
      <x:c r="A38" s="5" t="str">
        <x:v>TLS-CERT-06-01</x:v>
      </x:c>
      <x:c r="B38" s="5" t="str">
        <x:v>CERT-06</x:v>
      </x:c>
      <x:c r="C38" s="5" t="str">
        <x:v>Leaf trust mode failure</x:v>
      </x:c>
      <x:c r="D38" s="5" t="str">
        <x:v>Alarm and terminate handshake when the required trusted individual certificate is unavailable</x:v>
      </x:c>
      <x:c r="E38" s="5" t="str">
        <x:v>Conditional mandatory</x:v>
      </x:c>
      <x:c r="F38" s="5" t="str">
        <x:v>Individual certificate filtering configured</x:v>
      </x:c>
      <x:c r="G38" s="5" t="str"/>
      <x:c r="H38" s="5" t="str">
        <x:v>6.4.4.3</x:v>
      </x:c>
      <x:c r="I38" s="5" t="str">
        <x:v>26</x:v>
      </x:c>
      <x:c r="J38" s="5" t="str">
        <x:v>18</x:v>
      </x:c>
      <x:c r="K38" s="5" t="str">
        <x:v>apps/ccli/adapters/iec61850_mms/mms_adapter.cpp; mms_rbac_security.cpp; adapters/iec60870_104/iec104_tls.cpp; core/config/ccli_config.hpp</x:v>
      </x:c>
      <x:c r="L38" s="5" t="str">
        <x:v>HiTEKS security/PKI lead</x:v>
      </x:c>
      <x:c r="M38" s="5" t="str">
        <x:v>Existing implementation area; requirement acceptance open</x:v>
      </x:c>
      <x:c r="N38" s="5" t="str">
        <x:v>Not demonstrated</x:v>
      </x:c>
      <x:c r="O38" s="5" t="str">
        <x:v>Positive and negative identity/trust/revocation tests on both claimed protocol endpoints. Verify: Alarm and terminate handshake when the required trusted individual certificate is unavailable.</x:v>
      </x:c>
      <x:c r="P38" s="10" t="str"/>
      <x:c r="Q38" s="10" t="str">
        <x:v>Open</x:v>
      </x:c>
      <x:c r="R38" s="10" t="str"/>
      <x:c r="S38" s="10" t="str"/>
      <x:c r="T38" s="10" t="str"/>
      <x:c r="U38" s="5" t="str">
        <x:f>IF(Q38="Closed",IF(AND(R38&lt;&gt;"",S38&lt;&gt;""),"Closed recorded","Missing evidence/reviewer"),IF(Q38="N/A approved",IF(AND(T38&lt;&gt;"",S38&lt;&gt;""),"N/A recorded","Missing applicability approval"),"Open"))</x:f>
        <x:v>Open</x:v>
      </x:c>
      <x:c r="V38" s="5" t="str">
        <x:v>Normativa/EN IEC 62351-3-2023.pdf</x:v>
      </x:c>
      <x:c r="W38" s="5" t="str"/>
    </x:row>
    <x:row r="39" ht="36" customHeight="1">
      <x:c r="A39" s="5" t="str">
        <x:v>TLS-REV-01-01</x:v>
      </x:c>
      <x:c r="B39" s="5" t="str">
        <x:v>REV-01</x:v>
      </x:c>
      <x:c r="C39" s="5" t="str">
        <x:v>Revocation validation</x:v>
      </x:c>
      <x:c r="D39" s="5" t="str">
        <x:v>Follow mandatory ISO/IEC9594-8 revocation parameters/procedures</x:v>
      </x:c>
      <x:c r="E39" s="5" t="str">
        <x:v>Mandatory</x:v>
      </x:c>
      <x:c r="F39" s="5" t="str">
        <x:v>All TLS</x:v>
      </x:c>
      <x:c r="G39" s="5" t="str"/>
      <x:c r="H39" s="5" t="str">
        <x:v>6.4.4.4.1</x:v>
      </x:c>
      <x:c r="I39" s="5" t="str">
        <x:v>26-27</x:v>
      </x:c>
      <x:c r="J39" s="5" t="str">
        <x:v>18,19</x:v>
      </x:c>
      <x:c r="K39" s="5" t="str">
        <x:v>apps/ccli/adapters/iec61850_mms/mms_adapter.cpp; mms_rbac_security.cpp; adapters/iec60870_104/iec104_tls.cpp; core/config/ccli_config.hpp</x:v>
      </x:c>
      <x:c r="L39" s="5" t="str">
        <x:v>HiTEKS security/PKI lead</x:v>
      </x:c>
      <x:c r="M39" s="5" t="str">
        <x:v>Partial MMS validation;104 CRL path and demonstrated refresh/reload/OCSP coverage open</x:v>
      </x:c>
      <x:c r="N39" s="5" t="str">
        <x:v>104 CRL path absent; archived r64 YAML omits MMS tls_crl</x:v>
      </x:c>
      <x:c r="O39" s="5" t="str">
        <x:v>Positive and negative identity/trust/revocation tests on both claimed protocol endpoints. Verify: Follow mandatory ISO/IEC9594-8 revocation parameters/procedures.</x:v>
      </x:c>
      <x:c r="P39" s="10" t="str"/>
      <x:c r="Q39" s="10" t="str">
        <x:v>Open</x:v>
      </x:c>
      <x:c r="R39" s="10" t="str"/>
      <x:c r="S39" s="10" t="str"/>
      <x:c r="T39" s="10" t="str"/>
      <x:c r="U39" s="5" t="str">
        <x:f>IF(Q39="Closed",IF(AND(R39&lt;&gt;"",S39&lt;&gt;""),"Closed recorded","Missing evidence/reviewer"),IF(Q39="N/A approved",IF(AND(T39&lt;&gt;"",S39&lt;&gt;""),"N/A recorded","Missing applicability approval"),"Open"))</x:f>
        <x:v>Open</x:v>
      </x:c>
      <x:c r="V39" s="5" t="str">
        <x:v>Normativa/EN IEC 62351-3-2023.pdf</x:v>
      </x:c>
      <x:c r="W39" s="5" t="str"/>
    </x:row>
    <x:row r="40" ht="36" customHeight="1">
      <x:c r="A40" s="5" t="str">
        <x:v>TLS-REV-01-02</x:v>
      </x:c>
      <x:c r="B40" s="5" t="str">
        <x:v>REV-01</x:v>
      </x:c>
      <x:c r="C40" s="5" t="str">
        <x:v>Revocation validation</x:v>
      </x:c>
      <x:c r="D40" s="5" t="str">
        <x:v>Check received-certificate revocation at configurable intervals</x:v>
      </x:c>
      <x:c r="E40" s="5" t="str">
        <x:v>Mandatory</x:v>
      </x:c>
      <x:c r="F40" s="5" t="str">
        <x:v>All TLS</x:v>
      </x:c>
      <x:c r="G40" s="5" t="str"/>
      <x:c r="H40" s="5" t="str">
        <x:v>6.4.4.4.1</x:v>
      </x:c>
      <x:c r="I40" s="5" t="str">
        <x:v>26-27</x:v>
      </x:c>
      <x:c r="J40" s="5" t="str">
        <x:v>18,19</x:v>
      </x:c>
      <x:c r="K40" s="5" t="str">
        <x:v>apps/ccli/adapters/iec61850_mms/mms_adapter.cpp; mms_rbac_security.cpp; adapters/iec60870_104/iec104_tls.cpp; core/config/ccli_config.hpp</x:v>
      </x:c>
      <x:c r="L40" s="5" t="str">
        <x:v>HiTEKS security/PKI lead</x:v>
      </x:c>
      <x:c r="M40" s="5" t="str">
        <x:v>Partial MMS validation;104 CRL path and demonstrated refresh/reload/OCSP coverage open</x:v>
      </x:c>
      <x:c r="N40" s="5" t="str">
        <x:v>104 CRL path absent; archived r64 YAML omits MMS tls_crl</x:v>
      </x:c>
      <x:c r="O40" s="5" t="str">
        <x:v>Positive and negative identity/trust/revocation tests on both claimed protocol endpoints. Verify: Check received-certificate revocation at configurable intervals.</x:v>
      </x:c>
      <x:c r="P40" s="10" t="str"/>
      <x:c r="Q40" s="10" t="str">
        <x:v>Open</x:v>
      </x:c>
      <x:c r="R40" s="10" t="str"/>
      <x:c r="S40" s="10" t="str"/>
      <x:c r="T40" s="10" t="str"/>
      <x:c r="U40" s="5" t="str">
        <x:f>IF(Q40="Closed",IF(AND(R40&lt;&gt;"",S40&lt;&gt;""),"Closed recorded","Missing evidence/reviewer"),IF(Q40="N/A approved",IF(AND(T40&lt;&gt;"",S40&lt;&gt;""),"N/A recorded","Missing applicability approval"),"Open"))</x:f>
        <x:v>Open</x:v>
      </x:c>
      <x:c r="V40" s="5" t="str">
        <x:v>Normativa/EN IEC 62351-3-2023.pdf</x:v>
      </x:c>
      <x:c r="W40" s="5" t="str"/>
    </x:row>
    <x:row r="41" ht="36" customHeight="1">
      <x:c r="A41" s="5" t="str">
        <x:v>TLS-REV-02-01</x:v>
      </x:c>
      <x:c r="B41" s="5" t="str">
        <x:v>REV-02</x:v>
      </x:c>
      <x:c r="C41" s="5" t="str">
        <x:v>Active certificate tracking</x:v>
      </x:c>
      <x:c r="D41" s="5" t="str">
        <x:v>Track peer certificates used at establishment</x:v>
      </x:c>
      <x:c r="E41" s="5" t="str">
        <x:v>Conditional mandatory</x:v>
      </x:c>
      <x:c r="F41" s="5" t="str">
        <x:v>Application monitors certificates</x:v>
      </x:c>
      <x:c r="G41" s="5" t="str"/>
      <x:c r="H41" s="5" t="str">
        <x:v>6.4.4.4.1</x:v>
      </x:c>
      <x:c r="I41" s="5" t="str">
        <x:v>27</x:v>
      </x:c>
      <x:c r="J41" s="5" t="str">
        <x:v>19</x:v>
      </x:c>
      <x:c r="K41" s="5" t="str">
        <x:v>apps/ccli/adapters/iec61850_mms/mms_adapter.cpp; mms_rbac_security.cpp; adapters/iec60870_104/iec104_tls.cpp; core/config/ccli_config.hpp</x:v>
      </x:c>
      <x:c r="L41" s="5" t="str">
        <x:v>HiTEKS security/PKI lead</x:v>
      </x:c>
      <x:c r="M41" s="5" t="str">
        <x:v>Partial MMS validation;104 CRL path and demonstrated refresh/reload/OCSP coverage open</x:v>
      </x:c>
      <x:c r="N41" s="5" t="str">
        <x:v>104 CRL path absent; archived r64 YAML omits MMS tls_crl</x:v>
      </x:c>
      <x:c r="O41" s="5" t="str">
        <x:v>Positive and negative identity/trust/revocation tests on both claimed protocol endpoints. Verify: Track peer certificates used at establishment.</x:v>
      </x:c>
      <x:c r="P41" s="10" t="str"/>
      <x:c r="Q41" s="10" t="str">
        <x:v>Open</x:v>
      </x:c>
      <x:c r="R41" s="10" t="str"/>
      <x:c r="S41" s="10" t="str"/>
      <x:c r="T41" s="10" t="str"/>
      <x:c r="U41" s="5" t="str">
        <x:f>IF(Q41="Closed",IF(AND(R41&lt;&gt;"",S41&lt;&gt;""),"Closed recorded","Missing evidence/reviewer"),IF(Q41="N/A approved",IF(AND(T41&lt;&gt;"",S41&lt;&gt;""),"N/A recorded","Missing applicability approval"),"Open"))</x:f>
        <x:v>Open</x:v>
      </x:c>
      <x:c r="V41" s="5" t="str">
        <x:v>Normativa/EN IEC 62351-3-2023.pdf</x:v>
      </x:c>
      <x:c r="W41" s="5" t="str"/>
    </x:row>
    <x:row r="42" ht="36" customHeight="1">
      <x:c r="A42" s="5" t="str">
        <x:v>TLS-REV-02-02</x:v>
      </x:c>
      <x:c r="B42" s="5" t="str">
        <x:v>REV-02</x:v>
      </x:c>
      <x:c r="C42" s="5" t="str">
        <x:v>Active certificate tracking</x:v>
      </x:c>
      <x:c r="D42" s="5" t="str">
        <x:v>Invoke configured periodic validation</x:v>
      </x:c>
      <x:c r="E42" s="5" t="str">
        <x:v>Conditional mandatory</x:v>
      </x:c>
      <x:c r="F42" s="5" t="str">
        <x:v>Application monitors certificates</x:v>
      </x:c>
      <x:c r="G42" s="5" t="str"/>
      <x:c r="H42" s="5" t="str">
        <x:v>6.4.4.4.1</x:v>
      </x:c>
      <x:c r="I42" s="5" t="str">
        <x:v>27</x:v>
      </x:c>
      <x:c r="J42" s="5" t="str">
        <x:v>19</x:v>
      </x:c>
      <x:c r="K42" s="5" t="str">
        <x:v>apps/ccli/adapters/iec61850_mms/mms_adapter.cpp; mms_rbac_security.cpp; adapters/iec60870_104/iec104_tls.cpp; core/config/ccli_config.hpp</x:v>
      </x:c>
      <x:c r="L42" s="5" t="str">
        <x:v>HiTEKS security/PKI lead</x:v>
      </x:c>
      <x:c r="M42" s="5" t="str">
        <x:v>Partial MMS validation;104 CRL path and demonstrated refresh/reload/OCSP coverage open</x:v>
      </x:c>
      <x:c r="N42" s="5" t="str">
        <x:v>104 CRL path absent; archived r64 YAML omits MMS tls_crl</x:v>
      </x:c>
      <x:c r="O42" s="5" t="str">
        <x:v>Positive and negative identity/trust/revocation tests on both claimed protocol endpoints. Verify: Invoke configured periodic validation.</x:v>
      </x:c>
      <x:c r="P42" s="10" t="str"/>
      <x:c r="Q42" s="10" t="str">
        <x:v>Open</x:v>
      </x:c>
      <x:c r="R42" s="10" t="str"/>
      <x:c r="S42" s="10" t="str"/>
      <x:c r="T42" s="10" t="str"/>
      <x:c r="U42" s="5" t="str">
        <x:f>IF(Q42="Closed",IF(AND(R42&lt;&gt;"",S42&lt;&gt;""),"Closed recorded","Missing evidence/reviewer"),IF(Q42="N/A approved",IF(AND(T42&lt;&gt;"",S42&lt;&gt;""),"N/A recorded","Missing applicability approval"),"Open"))</x:f>
        <x:v>Open</x:v>
      </x:c>
      <x:c r="V42" s="5" t="str">
        <x:v>Normativa/EN IEC 62351-3-2023.pdf</x:v>
      </x:c>
      <x:c r="W42" s="5" t="str"/>
    </x:row>
    <x:row r="43" ht="36" customHeight="1">
      <x:c r="A43" s="5" t="str">
        <x:v>TLS-REV-02-03</x:v>
      </x:c>
      <x:c r="B43" s="5" t="str">
        <x:v>REV-02</x:v>
      </x:c>
      <x:c r="C43" s="5" t="str">
        <x:v>Active certificate tracking</x:v>
      </x:c>
      <x:c r="D43" s="5" t="str">
        <x:v>Terminate on revocation unless an approved configured grace period applies</x:v>
      </x:c>
      <x:c r="E43" s="5" t="str">
        <x:v>Conditional mandatory</x:v>
      </x:c>
      <x:c r="F43" s="5" t="str">
        <x:v>Application monitors certificates</x:v>
      </x:c>
      <x:c r="G43" s="5" t="str"/>
      <x:c r="H43" s="5" t="str">
        <x:v>6.4.4.4.1</x:v>
      </x:c>
      <x:c r="I43" s="5" t="str">
        <x:v>27</x:v>
      </x:c>
      <x:c r="J43" s="5" t="str">
        <x:v>19</x:v>
      </x:c>
      <x:c r="K43" s="5" t="str">
        <x:v>apps/ccli/adapters/iec61850_mms/mms_adapter.cpp; mms_rbac_security.cpp; adapters/iec60870_104/iec104_tls.cpp; core/config/ccli_config.hpp</x:v>
      </x:c>
      <x:c r="L43" s="5" t="str">
        <x:v>HiTEKS security/PKI lead</x:v>
      </x:c>
      <x:c r="M43" s="5" t="str">
        <x:v>Partial MMS validation;104 CRL path and demonstrated refresh/reload/OCSP coverage open</x:v>
      </x:c>
      <x:c r="N43" s="5" t="str">
        <x:v>104 CRL path absent; archived r64 YAML omits MMS tls_crl</x:v>
      </x:c>
      <x:c r="O43" s="5" t="str">
        <x:v>Positive and negative identity/trust/revocation tests on both claimed protocol endpoints. Verify: Terminate on revocation unless an approved configured grace period applies.</x:v>
      </x:c>
      <x:c r="P43" s="10" t="str"/>
      <x:c r="Q43" s="10" t="str">
        <x:v>Open</x:v>
      </x:c>
      <x:c r="R43" s="10" t="str"/>
      <x:c r="S43" s="10" t="str"/>
      <x:c r="T43" s="10" t="str"/>
      <x:c r="U43" s="5" t="str">
        <x:f>IF(Q43="Closed",IF(AND(R43&lt;&gt;"",S43&lt;&gt;""),"Closed recorded","Missing evidence/reviewer"),IF(Q43="N/A approved",IF(AND(T43&lt;&gt;"",S43&lt;&gt;""),"N/A recorded","Missing applicability approval"),"Open"))</x:f>
        <x:v>Open</x:v>
      </x:c>
      <x:c r="V43" s="5" t="str">
        <x:v>Normativa/EN IEC 62351-3-2023.pdf</x:v>
      </x:c>
      <x:c r="W43" s="5" t="str"/>
    </x:row>
    <x:row r="44" ht="36" customHeight="1">
      <x:c r="A44" s="5" t="str">
        <x:v>TLS-REV-02-04</x:v>
      </x:c>
      <x:c r="B44" s="5" t="str">
        <x:v>REV-02</x:v>
      </x:c>
      <x:c r="C44" s="5" t="str">
        <x:v>Active certificate tracking</x:v>
      </x:c>
      <x:c r="D44" s="5" t="str">
        <x:v>Default grace period to zero hours</x:v>
      </x:c>
      <x:c r="E44" s="5" t="str">
        <x:v>Conditional mandatory</x:v>
      </x:c>
      <x:c r="F44" s="5" t="str">
        <x:v>Application monitors certificates</x:v>
      </x:c>
      <x:c r="G44" s="5" t="str"/>
      <x:c r="H44" s="5" t="str">
        <x:v>6.4.4.4.1</x:v>
      </x:c>
      <x:c r="I44" s="5" t="str">
        <x:v>27</x:v>
      </x:c>
      <x:c r="J44" s="5" t="str">
        <x:v>19</x:v>
      </x:c>
      <x:c r="K44" s="5" t="str">
        <x:v>apps/ccli/adapters/iec61850_mms/mms_adapter.cpp; mms_rbac_security.cpp; adapters/iec60870_104/iec104_tls.cpp; core/config/ccli_config.hpp</x:v>
      </x:c>
      <x:c r="L44" s="5" t="str">
        <x:v>HiTEKS security/PKI lead</x:v>
      </x:c>
      <x:c r="M44" s="5" t="str">
        <x:v>Partial MMS validation;104 CRL path and demonstrated refresh/reload/OCSP coverage open</x:v>
      </x:c>
      <x:c r="N44" s="5" t="str">
        <x:v>104 CRL path absent; archived r64 YAML omits MMS tls_crl</x:v>
      </x:c>
      <x:c r="O44" s="5" t="str">
        <x:v>Positive and negative identity/trust/revocation tests on both claimed protocol endpoints. Verify: Default grace period to zero hours.</x:v>
      </x:c>
      <x:c r="P44" s="10" t="str"/>
      <x:c r="Q44" s="10" t="str">
        <x:v>Open</x:v>
      </x:c>
      <x:c r="R44" s="10" t="str"/>
      <x:c r="S44" s="10" t="str"/>
      <x:c r="T44" s="10" t="str"/>
      <x:c r="U44" s="5" t="str">
        <x:f>IF(Q44="Closed",IF(AND(R44&lt;&gt;"",S44&lt;&gt;""),"Closed recorded","Missing evidence/reviewer"),IF(Q44="N/A approved",IF(AND(T44&lt;&gt;"",S44&lt;&gt;""),"N/A recorded","Missing applicability approval"),"Open"))</x:f>
        <x:v>Open</x:v>
      </x:c>
      <x:c r="V44" s="5" t="str">
        <x:v>Normativa/EN IEC 62351-3-2023.pdf</x:v>
      </x:c>
      <x:c r="W44" s="5" t="str"/>
    </x:row>
    <x:row r="45" ht="36" customHeight="1">
      <x:c r="A45" s="5" t="str">
        <x:v>TLS-REV-03-01</x:v>
      </x:c>
      <x:c r="B45" s="5" t="str">
        <x:v>REV-03</x:v>
      </x:c>
      <x:c r="C45" s="5" t="str">
        <x:v>Revoked certificate rejection</x:v>
      </x:c>
      <x:c r="D45" s="5" t="str">
        <x:v>Never establish sessions with revoked certificates</x:v>
      </x:c>
      <x:c r="E45" s="5" t="str">
        <x:v>Mandatory</x:v>
      </x:c>
      <x:c r="F45" s="5" t="str">
        <x:v>All TLS</x:v>
      </x:c>
      <x:c r="G45" s="5" t="str"/>
      <x:c r="H45" s="5" t="str">
        <x:v>6.4.4.4.1</x:v>
      </x:c>
      <x:c r="I45" s="5" t="str">
        <x:v>27</x:v>
      </x:c>
      <x:c r="J45" s="5" t="str">
        <x:v>19</x:v>
      </x:c>
      <x:c r="K45" s="5" t="str">
        <x:v>apps/ccli/adapters/iec61850_mms/mms_adapter.cpp; mms_rbac_security.cpp; adapters/iec60870_104/iec104_tls.cpp; core/config/ccli_config.hpp</x:v>
      </x:c>
      <x:c r="L45" s="5" t="str">
        <x:v>HiTEKS security/PKI lead</x:v>
      </x:c>
      <x:c r="M45" s="5" t="str">
        <x:v>Partial MMS validation;104 CRL path and demonstrated refresh/reload/OCSP coverage open</x:v>
      </x:c>
      <x:c r="N45" s="5" t="str">
        <x:v>104 CRL path absent; archived r64 YAML omits MMS tls_crl</x:v>
      </x:c>
      <x:c r="O45" s="5" t="str">
        <x:v>Positive and negative identity/trust/revocation tests on both claimed protocol endpoints. Verify: Never establish sessions with revoked certificates.</x:v>
      </x:c>
      <x:c r="P45" s="10" t="str"/>
      <x:c r="Q45" s="10" t="str">
        <x:v>Open</x:v>
      </x:c>
      <x:c r="R45" s="10" t="str"/>
      <x:c r="S45" s="10" t="str"/>
      <x:c r="T45" s="10" t="str"/>
      <x:c r="U45" s="5" t="str">
        <x:f>IF(Q45="Closed",IF(AND(R45&lt;&gt;"",S45&lt;&gt;""),"Closed recorded","Missing evidence/reviewer"),IF(Q45="N/A approved",IF(AND(T45&lt;&gt;"",S45&lt;&gt;""),"N/A recorded","Missing applicability approval"),"Open"))</x:f>
        <x:v>Open</x:v>
      </x:c>
      <x:c r="V45" s="5" t="str">
        <x:v>Normativa/EN IEC 62351-3-2023.pdf</x:v>
      </x:c>
      <x:c r="W45" s="5" t="str"/>
    </x:row>
    <x:row r="46" ht="36" customHeight="1">
      <x:c r="A46" s="5" t="str">
        <x:v>TLS-REV-03-02</x:v>
      </x:c>
      <x:c r="B46" s="5" t="str">
        <x:v>REV-03</x:v>
      </x:c>
      <x:c r="C46" s="5" t="str">
        <x:v>Revoked certificate rejection</x:v>
      </x:c>
      <x:c r="D46" s="5" t="str">
        <x:v>Reject revoked certificates on initial establishment</x:v>
      </x:c>
      <x:c r="E46" s="5" t="str">
        <x:v>Mandatory</x:v>
      </x:c>
      <x:c r="F46" s="5" t="str">
        <x:v>All TLS</x:v>
      </x:c>
      <x:c r="G46" s="5" t="str"/>
      <x:c r="H46" s="5" t="str">
        <x:v>6.4.4.4.1</x:v>
      </x:c>
      <x:c r="I46" s="5" t="str">
        <x:v>27</x:v>
      </x:c>
      <x:c r="J46" s="5" t="str">
        <x:v>19</x:v>
      </x:c>
      <x:c r="K46" s="5" t="str">
        <x:v>apps/ccli/adapters/iec61850_mms/mms_adapter.cpp; mms_rbac_security.cpp; adapters/iec60870_104/iec104_tls.cpp; core/config/ccli_config.hpp</x:v>
      </x:c>
      <x:c r="L46" s="5" t="str">
        <x:v>HiTEKS security/PKI lead</x:v>
      </x:c>
      <x:c r="M46" s="5" t="str">
        <x:v>Partial MMS validation;104 CRL path and demonstrated refresh/reload/OCSP coverage open</x:v>
      </x:c>
      <x:c r="N46" s="5" t="str">
        <x:v>104 CRL path absent; archived r64 YAML omits MMS tls_crl</x:v>
      </x:c>
      <x:c r="O46" s="5" t="str">
        <x:v>Positive and negative identity/trust/revocation tests on both claimed protocol endpoints. Verify: Reject revoked certificates on initial establishment.</x:v>
      </x:c>
      <x:c r="P46" s="10" t="str"/>
      <x:c r="Q46" s="10" t="str">
        <x:v>Open</x:v>
      </x:c>
      <x:c r="R46" s="10" t="str"/>
      <x:c r="S46" s="10" t="str"/>
      <x:c r="T46" s="10" t="str"/>
      <x:c r="U46" s="5" t="str">
        <x:f>IF(Q46="Closed",IF(AND(R46&lt;&gt;"",S46&lt;&gt;""),"Closed recorded","Missing evidence/reviewer"),IF(Q46="N/A approved",IF(AND(T46&lt;&gt;"",S46&lt;&gt;""),"N/A recorded","Missing applicability approval"),"Open"))</x:f>
        <x:v>Open</x:v>
      </x:c>
      <x:c r="V46" s="5" t="str">
        <x:v>Normativa/EN IEC 62351-3-2023.pdf</x:v>
      </x:c>
      <x:c r="W46" s="5" t="str"/>
    </x:row>
    <x:row r="47" ht="36" customHeight="1">
      <x:c r="A47" s="5" t="str">
        <x:v>TLS-REV-03-03</x:v>
      </x:c>
      <x:c r="B47" s="5" t="str">
        <x:v>REV-03</x:v>
      </x:c>
      <x:c r="C47" s="5" t="str">
        <x:v>Revoked certificate rejection</x:v>
      </x:c>
      <x:c r="D47" s="5" t="str">
        <x:v>Terminate TLS1.2 renegotiation on revoked certificate</x:v>
      </x:c>
      <x:c r="E47" s="5" t="str">
        <x:v>Mandatory</x:v>
      </x:c>
      <x:c r="F47" s="5" t="str">
        <x:v>All TLS</x:v>
      </x:c>
      <x:c r="G47" s="5" t="str"/>
      <x:c r="H47" s="5" t="str">
        <x:v>6.4.4.4.1</x:v>
      </x:c>
      <x:c r="I47" s="5" t="str">
        <x:v>27</x:v>
      </x:c>
      <x:c r="J47" s="5" t="str">
        <x:v>19</x:v>
      </x:c>
      <x:c r="K47" s="5" t="str">
        <x:v>apps/ccli/adapters/iec61850_mms/mms_adapter.cpp; mms_rbac_security.cpp; adapters/iec60870_104/iec104_tls.cpp; core/config/ccli_config.hpp</x:v>
      </x:c>
      <x:c r="L47" s="5" t="str">
        <x:v>HiTEKS security/PKI lead</x:v>
      </x:c>
      <x:c r="M47" s="5" t="str">
        <x:v>Partial MMS validation;104 CRL path and demonstrated refresh/reload/OCSP coverage open</x:v>
      </x:c>
      <x:c r="N47" s="5" t="str">
        <x:v>104 CRL path absent; archived r64 YAML omits MMS tls_crl</x:v>
      </x:c>
      <x:c r="O47" s="5" t="str">
        <x:v>Positive and negative identity/trust/revocation tests on both claimed protocol endpoints. Verify: Terminate TLS1.2 renegotiation on revoked certificate.</x:v>
      </x:c>
      <x:c r="P47" s="10" t="str"/>
      <x:c r="Q47" s="10" t="str">
        <x:v>Open</x:v>
      </x:c>
      <x:c r="R47" s="10" t="str"/>
      <x:c r="S47" s="10" t="str"/>
      <x:c r="T47" s="10" t="str"/>
      <x:c r="U47" s="5" t="str">
        <x:f>IF(Q47="Closed",IF(AND(R47&lt;&gt;"",S47&lt;&gt;""),"Closed recorded","Missing evidence/reviewer"),IF(Q47="N/A approved",IF(AND(T47&lt;&gt;"",S47&lt;&gt;""),"N/A recorded","Missing applicability approval"),"Open"))</x:f>
        <x:v>Open</x:v>
      </x:c>
      <x:c r="V47" s="5" t="str">
        <x:v>Normativa/EN IEC 62351-3-2023.pdf</x:v>
      </x:c>
      <x:c r="W47" s="5" t="str"/>
    </x:row>
    <x:row r="48" ht="36" customHeight="1">
      <x:c r="A48" s="5" t="str">
        <x:v>TLS-REV-03-04</x:v>
      </x:c>
      <x:c r="B48" s="5" t="str">
        <x:v>REV-03</x:v>
      </x:c>
      <x:c r="C48" s="5" t="str">
        <x:v>Revoked certificate rejection</x:v>
      </x:c>
      <x:c r="D48" s="5" t="str">
        <x:v>Raise revoked-certificate alarm</x:v>
      </x:c>
      <x:c r="E48" s="5" t="str">
        <x:v>Mandatory</x:v>
      </x:c>
      <x:c r="F48" s="5" t="str">
        <x:v>All TLS</x:v>
      </x:c>
      <x:c r="G48" s="5" t="str"/>
      <x:c r="H48" s="5" t="str">
        <x:v>6.4.4.4.1</x:v>
      </x:c>
      <x:c r="I48" s="5" t="str">
        <x:v>27</x:v>
      </x:c>
      <x:c r="J48" s="5" t="str">
        <x:v>19</x:v>
      </x:c>
      <x:c r="K48" s="5" t="str">
        <x:v>apps/ccli/adapters/iec61850_mms/mms_adapter.cpp; mms_rbac_security.cpp; adapters/iec60870_104/iec104_tls.cpp; core/config/ccli_config.hpp</x:v>
      </x:c>
      <x:c r="L48" s="5" t="str">
        <x:v>HiTEKS security/PKI lead</x:v>
      </x:c>
      <x:c r="M48" s="5" t="str">
        <x:v>Partial MMS validation;104 CRL path and demonstrated refresh/reload/OCSP coverage open</x:v>
      </x:c>
      <x:c r="N48" s="5" t="str">
        <x:v>104 CRL path absent; archived r64 YAML omits MMS tls_crl</x:v>
      </x:c>
      <x:c r="O48" s="5" t="str">
        <x:v>Positive and negative identity/trust/revocation tests on both claimed protocol endpoints. Verify: Raise revoked-certificate alarm.</x:v>
      </x:c>
      <x:c r="P48" s="10" t="str"/>
      <x:c r="Q48" s="10" t="str">
        <x:v>Open</x:v>
      </x:c>
      <x:c r="R48" s="10" t="str"/>
      <x:c r="S48" s="10" t="str"/>
      <x:c r="T48" s="10" t="str"/>
      <x:c r="U48" s="5" t="str">
        <x:f>IF(Q48="Closed",IF(AND(R48&lt;&gt;"",S48&lt;&gt;""),"Closed recorded","Missing evidence/reviewer"),IF(Q48="N/A approved",IF(AND(T48&lt;&gt;"",S48&lt;&gt;""),"N/A recorded","Missing applicability approval"),"Open"))</x:f>
        <x:v>Open</x:v>
      </x:c>
      <x:c r="V48" s="5" t="str">
        <x:v>Normativa/EN IEC 62351-3-2023.pdf</x:v>
      </x:c>
      <x:c r="W48" s="5" t="str"/>
    </x:row>
    <x:row r="49" ht="36" customHeight="1">
      <x:c r="A49" s="5" t="str">
        <x:v>TLS-REV-03-05</x:v>
      </x:c>
      <x:c r="B49" s="5" t="str">
        <x:v>REV-03</x:v>
      </x:c>
      <x:c r="C49" s="5" t="str">
        <x:v>Revoked certificate rejection</x:v>
      </x:c>
      <x:c r="D49" s="5" t="str">
        <x:v>Raise separate session-termination-due-to-revocation alarm</x:v>
      </x:c>
      <x:c r="E49" s="5" t="str">
        <x:v>Mandatory</x:v>
      </x:c>
      <x:c r="F49" s="5" t="str">
        <x:v>All TLS</x:v>
      </x:c>
      <x:c r="G49" s="5" t="str"/>
      <x:c r="H49" s="5" t="str">
        <x:v>6.4.4.4.1</x:v>
      </x:c>
      <x:c r="I49" s="5" t="str">
        <x:v>27</x:v>
      </x:c>
      <x:c r="J49" s="5" t="str">
        <x:v>19</x:v>
      </x:c>
      <x:c r="K49" s="5" t="str">
        <x:v>apps/ccli/adapters/iec61850_mms/mms_adapter.cpp; mms_rbac_security.cpp; adapters/iec60870_104/iec104_tls.cpp; core/config/ccli_config.hpp</x:v>
      </x:c>
      <x:c r="L49" s="5" t="str">
        <x:v>HiTEKS security/PKI lead</x:v>
      </x:c>
      <x:c r="M49" s="5" t="str">
        <x:v>Partial MMS validation;104 CRL path and demonstrated refresh/reload/OCSP coverage open</x:v>
      </x:c>
      <x:c r="N49" s="5" t="str">
        <x:v>104 CRL path absent; archived r64 YAML omits MMS tls_crl</x:v>
      </x:c>
      <x:c r="O49" s="5" t="str">
        <x:v>Positive and negative identity/trust/revocation tests on both claimed protocol endpoints. Verify: Raise separate session-termination-due-to-revocation alarm.</x:v>
      </x:c>
      <x:c r="P49" s="10" t="str"/>
      <x:c r="Q49" s="10" t="str">
        <x:v>Open</x:v>
      </x:c>
      <x:c r="R49" s="10" t="str"/>
      <x:c r="S49" s="10" t="str"/>
      <x:c r="T49" s="10" t="str"/>
      <x:c r="U49" s="5" t="str">
        <x:f>IF(Q49="Closed",IF(AND(R49&lt;&gt;"",S49&lt;&gt;""),"Closed recorded","Missing evidence/reviewer"),IF(Q49="N/A approved",IF(AND(T49&lt;&gt;"",S49&lt;&gt;""),"N/A recorded","Missing applicability approval"),"Open"))</x:f>
        <x:v>Open</x:v>
      </x:c>
      <x:c r="V49" s="5" t="str">
        <x:v>Normativa/EN IEC 62351-3-2023.pdf</x:v>
      </x:c>
      <x:c r="W49" s="5" t="str"/>
    </x:row>
    <x:row r="50" ht="36" customHeight="1">
      <x:c r="A50" s="5" t="str">
        <x:v>TLS-REV-04-01</x:v>
      </x:c>
      <x:c r="B50" s="5" t="str">
        <x:v>REV-04</x:v>
      </x:c>
      <x:c r="C50" s="5" t="str">
        <x:v>CRL behavior</x:v>
      </x:c>
      <x:c r="D50" s="5" t="str">
        <x:v>Support CRL validation with evaluation at least every 24 hours per Table8</x:v>
      </x:c>
      <x:c r="E50" s="5" t="str">
        <x:v>Mandatory</x:v>
      </x:c>
      <x:c r="F50" s="5" t="str">
        <x:v>CRL support</x:v>
      </x:c>
      <x:c r="G50" s="5" t="str"/>
      <x:c r="H50" s="5" t="str">
        <x:v>6.4.4.4.2;Table8</x:v>
      </x:c>
      <x:c r="I50" s="5" t="str">
        <x:v>27-28,47</x:v>
      </x:c>
      <x:c r="J50" s="5" t="str">
        <x:v>19,20,39</x:v>
      </x:c>
      <x:c r="K50" s="5" t="str">
        <x:v>apps/ccli/adapters/iec61850_mms/mms_adapter.cpp; mms_rbac_security.cpp; adapters/iec60870_104/iec104_tls.cpp; core/config/ccli_config.hpp</x:v>
      </x:c>
      <x:c r="L50" s="5" t="str">
        <x:v>HiTEKS security/PKI lead</x:v>
      </x:c>
      <x:c r="M50" s="5" t="str">
        <x:v>Partial MMS validation;104 CRL path and demonstrated refresh/reload/OCSP coverage open</x:v>
      </x:c>
      <x:c r="N50" s="5" t="str">
        <x:v>104 CRL path absent; archived r64 YAML omits MMS tls_crl</x:v>
      </x:c>
      <x:c r="O50" s="5" t="str">
        <x:v>Positive and negative identity/trust/revocation tests on both claimed protocol endpoints. Verify: Support CRL validation with evaluation at least every 24 hours per Table8.</x:v>
      </x:c>
      <x:c r="P50" s="10" t="str"/>
      <x:c r="Q50" s="10" t="str">
        <x:v>Open</x:v>
      </x:c>
      <x:c r="R50" s="10" t="str"/>
      <x:c r="S50" s="10" t="str"/>
      <x:c r="T50" s="10" t="str"/>
      <x:c r="U50" s="5" t="str">
        <x:f>IF(Q50="Closed",IF(AND(R50&lt;&gt;"",S50&lt;&gt;""),"Closed recorded","Missing evidence/reviewer"),IF(Q50="N/A approved",IF(AND(T50&lt;&gt;"",S50&lt;&gt;""),"N/A recorded","Missing applicability approval"),"Open"))</x:f>
        <x:v>Open</x:v>
      </x:c>
      <x:c r="V50" s="5" t="str">
        <x:v>Normativa/EN IEC 62351-3-2023.pdf</x:v>
      </x:c>
      <x:c r="W50" s="5" t="str"/>
    </x:row>
    <x:row r="51" ht="36" customHeight="1">
      <x:c r="A51" s="5" t="str">
        <x:v>TLS-REV-04-02</x:v>
      </x:c>
      <x:c r="B51" s="5" t="str">
        <x:v>REV-04</x:v>
      </x:c>
      <x:c r="C51" s="5" t="str">
        <x:v>CRL behavior</x:v>
      </x:c>
      <x:c r="D51" s="5" t="str">
        <x:v>Do not terminate an established session merely to check a CRL</x:v>
      </x:c>
      <x:c r="E51" s="5" t="str">
        <x:v>Mandatory</x:v>
      </x:c>
      <x:c r="F51" s="5" t="str">
        <x:v>CRL support</x:v>
      </x:c>
      <x:c r="G51" s="5" t="str"/>
      <x:c r="H51" s="5" t="str">
        <x:v>6.4.4.4.2;Table8</x:v>
      </x:c>
      <x:c r="I51" s="5" t="str">
        <x:v>27-28,47</x:v>
      </x:c>
      <x:c r="J51" s="5" t="str">
        <x:v>19,20,39</x:v>
      </x:c>
      <x:c r="K51" s="5" t="str">
        <x:v>apps/ccli/adapters/iec61850_mms/mms_adapter.cpp; mms_rbac_security.cpp; adapters/iec60870_104/iec104_tls.cpp; core/config/ccli_config.hpp</x:v>
      </x:c>
      <x:c r="L51" s="5" t="str">
        <x:v>HiTEKS security/PKI lead</x:v>
      </x:c>
      <x:c r="M51" s="5" t="str">
        <x:v>Partial MMS validation;104 CRL path and demonstrated refresh/reload/OCSP coverage open</x:v>
      </x:c>
      <x:c r="N51" s="5" t="str">
        <x:v>104 CRL path absent; archived r64 YAML omits MMS tls_crl</x:v>
      </x:c>
      <x:c r="O51" s="5" t="str">
        <x:v>Positive and negative identity/trust/revocation tests on both claimed protocol endpoints. Verify: Do not terminate an established session merely to check a CRL.</x:v>
      </x:c>
      <x:c r="P51" s="10" t="str"/>
      <x:c r="Q51" s="10" t="str">
        <x:v>Open</x:v>
      </x:c>
      <x:c r="R51" s="10" t="str"/>
      <x:c r="S51" s="10" t="str"/>
      <x:c r="T51" s="10" t="str"/>
      <x:c r="U51" s="5" t="str">
        <x:f>IF(Q51="Closed",IF(AND(R51&lt;&gt;"",S51&lt;&gt;""),"Closed recorded","Missing evidence/reviewer"),IF(Q51="N/A approved",IF(AND(T51&lt;&gt;"",S51&lt;&gt;""),"N/A recorded","Missing applicability approval"),"Open"))</x:f>
        <x:v>Open</x:v>
      </x:c>
      <x:c r="V51" s="5" t="str">
        <x:v>Normativa/EN IEC 62351-3-2023.pdf</x:v>
      </x:c>
      <x:c r="W51" s="5" t="str"/>
    </x:row>
    <x:row r="52" ht="36" customHeight="1">
      <x:c r="A52" s="5" t="str">
        <x:v>TLS-REV-04-03</x:v>
      </x:c>
      <x:c r="B52" s="5" t="str">
        <x:v>REV-04</x:v>
      </x:c>
      <x:c r="C52" s="5" t="str">
        <x:v>CRL behavior</x:v>
      </x:c>
      <x:c r="D52" s="5" t="str">
        <x:v>Do not terminate an established session merely because CRL retrieval/local access fails</x:v>
      </x:c>
      <x:c r="E52" s="5" t="str">
        <x:v>Mandatory</x:v>
      </x:c>
      <x:c r="F52" s="5" t="str">
        <x:v>CRL support</x:v>
      </x:c>
      <x:c r="G52" s="5" t="str"/>
      <x:c r="H52" s="5" t="str">
        <x:v>6.4.4.4.2;Table8</x:v>
      </x:c>
      <x:c r="I52" s="5" t="str">
        <x:v>27-28,47</x:v>
      </x:c>
      <x:c r="J52" s="5" t="str">
        <x:v>19,20,39</x:v>
      </x:c>
      <x:c r="K52" s="5" t="str">
        <x:v>apps/ccli/adapters/iec61850_mms/mms_adapter.cpp; mms_rbac_security.cpp; adapters/iec60870_104/iec104_tls.cpp; core/config/ccli_config.hpp</x:v>
      </x:c>
      <x:c r="L52" s="5" t="str">
        <x:v>HiTEKS security/PKI lead</x:v>
      </x:c>
      <x:c r="M52" s="5" t="str">
        <x:v>Partial MMS validation;104 CRL path and demonstrated refresh/reload/OCSP coverage open</x:v>
      </x:c>
      <x:c r="N52" s="5" t="str">
        <x:v>104 CRL path absent; archived r64 YAML omits MMS tls_crl</x:v>
      </x:c>
      <x:c r="O52" s="5" t="str">
        <x:v>Positive and negative identity/trust/revocation tests on both claimed protocol endpoints. Verify: Do not terminate an established session merely because CRL retrieval/local access fails.</x:v>
      </x:c>
      <x:c r="P52" s="10" t="str"/>
      <x:c r="Q52" s="10" t="str">
        <x:v>Open</x:v>
      </x:c>
      <x:c r="R52" s="10" t="str"/>
      <x:c r="S52" s="10" t="str"/>
      <x:c r="T52" s="10" t="str"/>
      <x:c r="U52" s="5" t="str">
        <x:f>IF(Q52="Closed",IF(AND(R52&lt;&gt;"",S52&lt;&gt;""),"Closed recorded","Missing evidence/reviewer"),IF(Q52="N/A approved",IF(AND(T52&lt;&gt;"",S52&lt;&gt;""),"N/A recorded","Missing applicability approval"),"Open"))</x:f>
        <x:v>Open</x:v>
      </x:c>
      <x:c r="V52" s="5" t="str">
        <x:v>Normativa/EN IEC 62351-3-2023.pdf</x:v>
      </x:c>
      <x:c r="W52" s="5" t="str"/>
    </x:row>
    <x:row r="53" ht="36" customHeight="1">
      <x:c r="A53" s="5" t="str">
        <x:v>TLS-REV-04-04</x:v>
      </x:c>
      <x:c r="B53" s="5" t="str">
        <x:v>REV-04</x:v>
      </x:c>
      <x:c r="C53" s="5" t="str">
        <x:v>CRL behavior</x:v>
      </x:c>
      <x:c r="D53" s="5" t="str">
        <x:v>Warn when local CRL is inaccessible</x:v>
      </x:c>
      <x:c r="E53" s="5" t="str">
        <x:v>Mandatory</x:v>
      </x:c>
      <x:c r="F53" s="5" t="str">
        <x:v>CRL support</x:v>
      </x:c>
      <x:c r="G53" s="5" t="str"/>
      <x:c r="H53" s="5" t="str">
        <x:v>6.4.4.4.2;Table8</x:v>
      </x:c>
      <x:c r="I53" s="5" t="str">
        <x:v>27-28,47</x:v>
      </x:c>
      <x:c r="J53" s="5" t="str">
        <x:v>19,20,39</x:v>
      </x:c>
      <x:c r="K53" s="5" t="str">
        <x:v>apps/ccli/adapters/iec61850_mms/mms_adapter.cpp; mms_rbac_security.cpp; adapters/iec60870_104/iec104_tls.cpp; core/config/ccli_config.hpp</x:v>
      </x:c>
      <x:c r="L53" s="5" t="str">
        <x:v>HiTEKS security/PKI lead</x:v>
      </x:c>
      <x:c r="M53" s="5" t="str">
        <x:v>Partial MMS validation;104 CRL path and demonstrated refresh/reload/OCSP coverage open</x:v>
      </x:c>
      <x:c r="N53" s="5" t="str">
        <x:v>104 CRL path absent; archived r64 YAML omits MMS tls_crl</x:v>
      </x:c>
      <x:c r="O53" s="5" t="str">
        <x:v>Positive and negative identity/trust/revocation tests on both claimed protocol endpoints. Verify: Warn when local CRL is inaccessible.</x:v>
      </x:c>
      <x:c r="P53" s="10" t="str"/>
      <x:c r="Q53" s="10" t="str">
        <x:v>Open</x:v>
      </x:c>
      <x:c r="R53" s="10" t="str"/>
      <x:c r="S53" s="10" t="str"/>
      <x:c r="T53" s="10" t="str"/>
      <x:c r="U53" s="5" t="str">
        <x:f>IF(Q53="Closed",IF(AND(R53&lt;&gt;"",S53&lt;&gt;""),"Closed recorded","Missing evidence/reviewer"),IF(Q53="N/A approved",IF(AND(T53&lt;&gt;"",S53&lt;&gt;""),"N/A recorded","Missing applicability approval"),"Open"))</x:f>
        <x:v>Open</x:v>
      </x:c>
      <x:c r="V53" s="5" t="str">
        <x:v>Normativa/EN IEC 62351-3-2023.pdf</x:v>
      </x:c>
      <x:c r="W53" s="5" t="str"/>
    </x:row>
    <x:row r="54" ht="36" customHeight="1">
      <x:c r="A54" s="5" t="str">
        <x:v>TLS-REV-04-05</x:v>
      </x:c>
      <x:c r="B54" s="5" t="str">
        <x:v>REV-04</x:v>
      </x:c>
      <x:c r="C54" s="5" t="str">
        <x:v>CRL behavior</x:v>
      </x:c>
      <x:c r="D54" s="5" t="str">
        <x:v>Warn when local CRL expires without terminating established sessions solely for that expiry</x:v>
      </x:c>
      <x:c r="E54" s="5" t="str">
        <x:v>Mandatory</x:v>
      </x:c>
      <x:c r="F54" s="5" t="str">
        <x:v>CRL support</x:v>
      </x:c>
      <x:c r="G54" s="5" t="str"/>
      <x:c r="H54" s="5" t="str">
        <x:v>6.4.4.4.2;Table8</x:v>
      </x:c>
      <x:c r="I54" s="5" t="str">
        <x:v>27-28,47</x:v>
      </x:c>
      <x:c r="J54" s="5" t="str">
        <x:v>19,20,39</x:v>
      </x:c>
      <x:c r="K54" s="5" t="str">
        <x:v>apps/ccli/adapters/iec61850_mms/mms_adapter.cpp; mms_rbac_security.cpp; adapters/iec60870_104/iec104_tls.cpp; core/config/ccli_config.hpp</x:v>
      </x:c>
      <x:c r="L54" s="5" t="str">
        <x:v>HiTEKS security/PKI lead</x:v>
      </x:c>
      <x:c r="M54" s="5" t="str">
        <x:v>Partial MMS validation;104 CRL path and demonstrated refresh/reload/OCSP coverage open</x:v>
      </x:c>
      <x:c r="N54" s="5" t="str">
        <x:v>104 CRL path absent; archived r64 YAML omits MMS tls_crl</x:v>
      </x:c>
      <x:c r="O54" s="5" t="str">
        <x:v>Positive and negative identity/trust/revocation tests on both claimed protocol endpoints. Verify: Warn when local CRL expires without terminating established sessions solely for that expiry.</x:v>
      </x:c>
      <x:c r="P54" s="10" t="str"/>
      <x:c r="Q54" s="10" t="str">
        <x:v>Open</x:v>
      </x:c>
      <x:c r="R54" s="10" t="str"/>
      <x:c r="S54" s="10" t="str"/>
      <x:c r="T54" s="10" t="str"/>
      <x:c r="U54" s="5" t="str">
        <x:f>IF(Q54="Closed",IF(AND(R54&lt;&gt;"",S54&lt;&gt;""),"Closed recorded","Missing evidence/reviewer"),IF(Q54="N/A approved",IF(AND(T54&lt;&gt;"",S54&lt;&gt;""),"N/A recorded","Missing applicability approval"),"Open"))</x:f>
        <x:v>Open</x:v>
      </x:c>
      <x:c r="V54" s="5" t="str">
        <x:v>Normativa/EN IEC 62351-3-2023.pdf</x:v>
      </x:c>
      <x:c r="W54" s="5" t="str"/>
    </x:row>
    <x:row r="55" ht="36" customHeight="1">
      <x:c r="A55" s="5" t="str">
        <x:v>TLS-REV-05-01</x:v>
      </x:c>
      <x:c r="B55" s="5" t="str">
        <x:v>REV-05</x:v>
      </x:c>
      <x:c r="C55" s="5" t="str">
        <x:v>OCSP response capability</x:v>
      </x:c>
      <x:c r="D55" s="5" t="str">
        <x:v>Process and validate stapled OCSP responses even when direct online OCSP querying is not implemented</x:v>
      </x:c>
      <x:c r="E55" s="5" t="str">
        <x:v>Mandatory</x:v>
      </x:c>
      <x:c r="F55" s="5" t="str">
        <x:v>Stapled OCSP provided</x:v>
      </x:c>
      <x:c r="G55" s="5" t="str"/>
      <x:c r="H55" s="5" t="str">
        <x:v>6.4.4.4.3;Table8</x:v>
      </x:c>
      <x:c r="I55" s="5" t="str">
        <x:v>28,47</x:v>
      </x:c>
      <x:c r="J55" s="5" t="str">
        <x:v>20,39</x:v>
      </x:c>
      <x:c r="K55" s="5" t="str">
        <x:v>apps/ccli/adapters/iec61850_mms/mms_adapter.cpp; mms_rbac_security.cpp; adapters/iec60870_104/iec104_tls.cpp; core/config/ccli_config.hpp</x:v>
      </x:c>
      <x:c r="L55" s="5" t="str">
        <x:v>HiTEKS security/PKI lead</x:v>
      </x:c>
      <x:c r="M55" s="5" t="str">
        <x:v>Partial MMS validation;104 CRL path and demonstrated refresh/reload/OCSP coverage open</x:v>
      </x:c>
      <x:c r="N55" s="5" t="str">
        <x:v>104 CRL path absent; archived r64 YAML omits MMS tls_crl</x:v>
      </x:c>
      <x:c r="O55" s="5" t="str">
        <x:v>Positive and negative identity/trust/revocation tests on both claimed protocol endpoints. Verify: Process and validate stapled OCSP responses even when direct online OCSP querying is not implemented.</x:v>
      </x:c>
      <x:c r="P55" s="10" t="str"/>
      <x:c r="Q55" s="10" t="str">
        <x:v>Open</x:v>
      </x:c>
      <x:c r="R55" s="10" t="str"/>
      <x:c r="S55" s="10" t="str"/>
      <x:c r="T55" s="10" t="str"/>
      <x:c r="U55" s="5" t="str">
        <x:f>IF(Q55="Closed",IF(AND(R55&lt;&gt;"",S55&lt;&gt;""),"Closed recorded","Missing evidence/reviewer"),IF(Q55="N/A approved",IF(AND(T55&lt;&gt;"",S55&lt;&gt;""),"N/A recorded","Missing applicability approval"),"Open"))</x:f>
        <x:v>Open</x:v>
      </x:c>
      <x:c r="V55" s="5" t="str">
        <x:v>Normativa/EN IEC 62351-3-2023.pdf</x:v>
      </x:c>
      <x:c r="W55" s="5" t="str"/>
    </x:row>
    <x:row r="56" ht="36" customHeight="1">
      <x:c r="A56" s="5" t="str">
        <x:v>TLS-REV-05-02</x:v>
      </x:c>
      <x:c r="B56" s="5" t="str">
        <x:v>REV-05</x:v>
      </x:c>
      <x:c r="C56" s="5" t="str">
        <x:v>OCSP response capability</x:v>
      </x:c>
      <x:c r="D56" s="5" t="str">
        <x:v>Warn on expired OCSP response</x:v>
      </x:c>
      <x:c r="E56" s="5" t="str">
        <x:v>Mandatory</x:v>
      </x:c>
      <x:c r="F56" s="5" t="str">
        <x:v>Stapled OCSP provided</x:v>
      </x:c>
      <x:c r="G56" s="5" t="str"/>
      <x:c r="H56" s="5" t="str">
        <x:v>6.4.4.4.3;Table8</x:v>
      </x:c>
      <x:c r="I56" s="5" t="str">
        <x:v>28,47</x:v>
      </x:c>
      <x:c r="J56" s="5" t="str">
        <x:v>20,39</x:v>
      </x:c>
      <x:c r="K56" s="5" t="str">
        <x:v>apps/ccli/adapters/iec61850_mms/mms_adapter.cpp; mms_rbac_security.cpp; adapters/iec60870_104/iec104_tls.cpp; core/config/ccli_config.hpp</x:v>
      </x:c>
      <x:c r="L56" s="5" t="str">
        <x:v>HiTEKS security/PKI lead</x:v>
      </x:c>
      <x:c r="M56" s="5" t="str">
        <x:v>Partial MMS validation;104 CRL path and demonstrated refresh/reload/OCSP coverage open</x:v>
      </x:c>
      <x:c r="N56" s="5" t="str">
        <x:v>104 CRL path absent; archived r64 YAML omits MMS tls_crl</x:v>
      </x:c>
      <x:c r="O56" s="5" t="str">
        <x:v>Positive and negative identity/trust/revocation tests on both claimed protocol endpoints. Verify: Warn on expired OCSP response.</x:v>
      </x:c>
      <x:c r="P56" s="10" t="str"/>
      <x:c r="Q56" s="10" t="str">
        <x:v>Open</x:v>
      </x:c>
      <x:c r="R56" s="10" t="str"/>
      <x:c r="S56" s="10" t="str"/>
      <x:c r="T56" s="10" t="str"/>
      <x:c r="U56" s="5" t="str">
        <x:f>IF(Q56="Closed",IF(AND(R56&lt;&gt;"",S56&lt;&gt;""),"Closed recorded","Missing evidence/reviewer"),IF(Q56="N/A approved",IF(AND(T56&lt;&gt;"",S56&lt;&gt;""),"N/A recorded","Missing applicability approval"),"Open"))</x:f>
        <x:v>Open</x:v>
      </x:c>
      <x:c r="V56" s="5" t="str">
        <x:v>Normativa/EN IEC 62351-3-2023.pdf</x:v>
      </x:c>
      <x:c r="W56" s="5" t="str"/>
    </x:row>
    <x:row r="57" ht="36" customHeight="1">
      <x:c r="A57" s="5" t="str">
        <x:v>TLS-REV-06-01</x:v>
      </x:c>
      <x:c r="B57" s="5" t="str">
        <x:v>REV-06</x:v>
      </x:c>
      <x:c r="C57" s="5" t="str">
        <x:v>OCSP cache/failure policy</x:v>
      </x:c>
      <x:c r="D57" s="5" t="str">
        <x:v>Support caching with maximum 24-hour lifetime and respect nextUpdate</x:v>
      </x:c>
      <x:c r="E57" s="5" t="str">
        <x:v>Conditional mandatory</x:v>
      </x:c>
      <x:c r="F57" s="5" t="str">
        <x:v>OCSP used</x:v>
      </x:c>
      <x:c r="G57" s="5" t="str"/>
      <x:c r="H57" s="5" t="str">
        <x:v>6.4.4.4.3</x:v>
      </x:c>
      <x:c r="I57" s="5" t="str">
        <x:v>28</x:v>
      </x:c>
      <x:c r="J57" s="5" t="str">
        <x:v>20</x:v>
      </x:c>
      <x:c r="K57" s="5" t="str">
        <x:v>apps/ccli/adapters/iec61850_mms/mms_adapter.cpp; mms_rbac_security.cpp; adapters/iec60870_104/iec104_tls.cpp; core/config/ccli_config.hpp</x:v>
      </x:c>
      <x:c r="L57" s="5" t="str">
        <x:v>HiTEKS security/PKI lead</x:v>
      </x:c>
      <x:c r="M57" s="5" t="str">
        <x:v>Partial MMS validation;104 CRL path and demonstrated refresh/reload/OCSP coverage open</x:v>
      </x:c>
      <x:c r="N57" s="5" t="str">
        <x:v>104 CRL path absent; archived r64 YAML omits MMS tls_crl</x:v>
      </x:c>
      <x:c r="O57" s="5" t="str">
        <x:v>Positive and negative identity/trust/revocation tests on both claimed protocol endpoints. Verify: Support caching with maximum 24-hour lifetime and respect nextUpdate.</x:v>
      </x:c>
      <x:c r="P57" s="10" t="str"/>
      <x:c r="Q57" s="10" t="str">
        <x:v>Open</x:v>
      </x:c>
      <x:c r="R57" s="10" t="str"/>
      <x:c r="S57" s="10" t="str"/>
      <x:c r="T57" s="10" t="str"/>
      <x:c r="U57" s="5" t="str">
        <x:f>IF(Q57="Closed",IF(AND(R57&lt;&gt;"",S57&lt;&gt;""),"Closed recorded","Missing evidence/reviewer"),IF(Q57="N/A approved",IF(AND(T57&lt;&gt;"",S57&lt;&gt;""),"N/A recorded","Missing applicability approval"),"Open"))</x:f>
        <x:v>Open</x:v>
      </x:c>
      <x:c r="V57" s="5" t="str">
        <x:v>Normativa/EN IEC 62351-3-2023.pdf</x:v>
      </x:c>
      <x:c r="W57" s="5" t="str"/>
    </x:row>
    <x:row r="58" ht="36" customHeight="1">
      <x:c r="A58" s="5" t="str">
        <x:v>TLS-REV-06-02</x:v>
      </x:c>
      <x:c r="B58" s="5" t="str">
        <x:v>REV-06</x:v>
      </x:c>
      <x:c r="C58" s="5" t="str">
        <x:v>OCSP cache/failure policy</x:v>
      </x:c>
      <x:c r="D58" s="5" t="str">
        <x:v>Warn when the responder is inaccessible</x:v>
      </x:c>
      <x:c r="E58" s="5" t="str">
        <x:v>Conditional mandatory</x:v>
      </x:c>
      <x:c r="F58" s="5" t="str">
        <x:v>OCSP used</x:v>
      </x:c>
      <x:c r="G58" s="5" t="str"/>
      <x:c r="H58" s="5" t="str">
        <x:v>6.4.4.4.3</x:v>
      </x:c>
      <x:c r="I58" s="5" t="str">
        <x:v>28</x:v>
      </x:c>
      <x:c r="J58" s="5" t="str">
        <x:v>20</x:v>
      </x:c>
      <x:c r="K58" s="5" t="str">
        <x:v>apps/ccli/adapters/iec61850_mms/mms_adapter.cpp; mms_rbac_security.cpp; adapters/iec60870_104/iec104_tls.cpp; core/config/ccli_config.hpp</x:v>
      </x:c>
      <x:c r="L58" s="5" t="str">
        <x:v>HiTEKS security/PKI lead</x:v>
      </x:c>
      <x:c r="M58" s="5" t="str">
        <x:v>Partial MMS validation;104 CRL path and demonstrated refresh/reload/OCSP coverage open</x:v>
      </x:c>
      <x:c r="N58" s="5" t="str">
        <x:v>104 CRL path absent; archived r64 YAML omits MMS tls_crl</x:v>
      </x:c>
      <x:c r="O58" s="5" t="str">
        <x:v>Positive and negative identity/trust/revocation tests on both claimed protocol endpoints. Verify: Warn when the responder is inaccessible.</x:v>
      </x:c>
      <x:c r="P58" s="10" t="str"/>
      <x:c r="Q58" s="10" t="str">
        <x:v>Open</x:v>
      </x:c>
      <x:c r="R58" s="10" t="str"/>
      <x:c r="S58" s="10" t="str"/>
      <x:c r="T58" s="10" t="str"/>
      <x:c r="U58" s="5" t="str">
        <x:f>IF(Q58="Closed",IF(AND(R58&lt;&gt;"",S58&lt;&gt;""),"Closed recorded","Missing evidence/reviewer"),IF(Q58="N/A approved",IF(AND(T58&lt;&gt;"",S58&lt;&gt;""),"N/A recorded","Missing applicability approval"),"Open"))</x:f>
        <x:v>Open</x:v>
      </x:c>
      <x:c r="V58" s="5" t="str">
        <x:v>Normativa/EN IEC 62351-3-2023.pdf</x:v>
      </x:c>
      <x:c r="W58" s="5" t="str"/>
    </x:row>
    <x:row r="59" ht="36" customHeight="1">
      <x:c r="A59" s="5" t="str">
        <x:v>TLS-CERT-07-01</x:v>
      </x:c>
      <x:c r="B59" s="5" t="str">
        <x:v>CERT-07</x:v>
      </x:c>
      <x:c r="C59" s="5" t="str">
        <x:v>Expiry behavior</x:v>
      </x:c>
      <x:c r="D59" s="5" t="str">
        <x:v>Reject expired certificate on new establishment</x:v>
      </x:c>
      <x:c r="E59" s="5" t="str">
        <x:v>Mandatory</x:v>
      </x:c>
      <x:c r="F59" s="5" t="str">
        <x:v>All TLS</x:v>
      </x:c>
      <x:c r="G59" s="5" t="str"/>
      <x:c r="H59" s="5" t="str">
        <x:v>6.4.4.5</x:v>
      </x:c>
      <x:c r="I59" s="5" t="str">
        <x:v>28</x:v>
      </x:c>
      <x:c r="J59" s="5" t="str">
        <x:v>20</x:v>
      </x:c>
      <x:c r="K59" s="5" t="str">
        <x:v>apps/ccli/adapters/iec61850_mms/mms_adapter.cpp; mms_rbac_security.cpp; adapters/iec60870_104/iec104_tls.cpp; core/config/ccli_config.hpp</x:v>
      </x:c>
      <x:c r="L59" s="5" t="str">
        <x:v>HiTEKS security/PKI lead</x:v>
      </x:c>
      <x:c r="M59" s="5" t="str">
        <x:v>Existing implementation area; requirement acceptance open</x:v>
      </x:c>
      <x:c r="N59" s="5" t="str">
        <x:v>Not demonstrated</x:v>
      </x:c>
      <x:c r="O59" s="5" t="str">
        <x:v>Positive and negative identity/trust/revocation tests on both claimed protocol endpoints. Verify: Reject expired certificate on new establishment.</x:v>
      </x:c>
      <x:c r="P59" s="10" t="str"/>
      <x:c r="Q59" s="10" t="str">
        <x:v>Open</x:v>
      </x:c>
      <x:c r="R59" s="10" t="str"/>
      <x:c r="S59" s="10" t="str"/>
      <x:c r="T59" s="10" t="str"/>
      <x:c r="U59" s="5" t="str">
        <x:f>IF(Q59="Closed",IF(AND(R59&lt;&gt;"",S59&lt;&gt;""),"Closed recorded","Missing evidence/reviewer"),IF(Q59="N/A approved",IF(AND(T59&lt;&gt;"",S59&lt;&gt;""),"N/A recorded","Missing applicability approval"),"Open"))</x:f>
        <x:v>Open</x:v>
      </x:c>
      <x:c r="V59" s="5" t="str">
        <x:v>Normativa/EN IEC 62351-3-2023.pdf</x:v>
      </x:c>
      <x:c r="W59" s="5" t="str"/>
    </x:row>
    <x:row r="60" ht="36" customHeight="1">
      <x:c r="A60" s="5" t="str">
        <x:v>TLS-CERT-07-02</x:v>
      </x:c>
      <x:c r="B60" s="5" t="str">
        <x:v>CERT-07</x:v>
      </x:c>
      <x:c r="C60" s="5" t="str">
        <x:v>Expiry behavior</x:v>
      </x:c>
      <x:c r="D60" s="5" t="str">
        <x:v>Terminate TLS1.2 renegotiation using expired certificate</x:v>
      </x:c>
      <x:c r="E60" s="5" t="str">
        <x:v>Mandatory</x:v>
      </x:c>
      <x:c r="F60" s="5" t="str">
        <x:v>All TLS</x:v>
      </x:c>
      <x:c r="G60" s="5" t="str"/>
      <x:c r="H60" s="5" t="str">
        <x:v>6.4.4.5</x:v>
      </x:c>
      <x:c r="I60" s="5" t="str">
        <x:v>28</x:v>
      </x:c>
      <x:c r="J60" s="5" t="str">
        <x:v>20</x:v>
      </x:c>
      <x:c r="K60" s="5" t="str">
        <x:v>apps/ccli/adapters/iec61850_mms/mms_adapter.cpp; mms_rbac_security.cpp; adapters/iec60870_104/iec104_tls.cpp; core/config/ccli_config.hpp</x:v>
      </x:c>
      <x:c r="L60" s="5" t="str">
        <x:v>HiTEKS security/PKI lead</x:v>
      </x:c>
      <x:c r="M60" s="5" t="str">
        <x:v>Existing implementation area; requirement acceptance open</x:v>
      </x:c>
      <x:c r="N60" s="5" t="str">
        <x:v>Not demonstrated</x:v>
      </x:c>
      <x:c r="O60" s="5" t="str">
        <x:v>Positive and negative identity/trust/revocation tests on both claimed protocol endpoints. Verify: Terminate TLS1.2 renegotiation using expired certificate.</x:v>
      </x:c>
      <x:c r="P60" s="10" t="str"/>
      <x:c r="Q60" s="10" t="str">
        <x:v>Open</x:v>
      </x:c>
      <x:c r="R60" s="10" t="str"/>
      <x:c r="S60" s="10" t="str"/>
      <x:c r="T60" s="10" t="str"/>
      <x:c r="U60" s="5" t="str">
        <x:f>IF(Q60="Closed",IF(AND(R60&lt;&gt;"",S60&lt;&gt;""),"Closed recorded","Missing evidence/reviewer"),IF(Q60="N/A approved",IF(AND(T60&lt;&gt;"",S60&lt;&gt;""),"N/A recorded","Missing applicability approval"),"Open"))</x:f>
        <x:v>Open</x:v>
      </x:c>
      <x:c r="V60" s="5" t="str">
        <x:v>Normativa/EN IEC 62351-3-2023.pdf</x:v>
      </x:c>
      <x:c r="W60" s="5" t="str"/>
    </x:row>
    <x:row r="61" ht="36" customHeight="1">
      <x:c r="A61" s="5" t="str">
        <x:v>TLS-CERT-07-03</x:v>
      </x:c>
      <x:c r="B61" s="5" t="str">
        <x:v>CERT-07</x:v>
      </x:c>
      <x:c r="C61" s="5" t="str">
        <x:v>Expiry behavior</x:v>
      </x:c>
      <x:c r="D61" s="5" t="str">
        <x:v>Raise expired-certificate alarm for refusal</x:v>
      </x:c>
      <x:c r="E61" s="5" t="str">
        <x:v>Mandatory</x:v>
      </x:c>
      <x:c r="F61" s="5" t="str">
        <x:v>All TLS</x:v>
      </x:c>
      <x:c r="G61" s="5" t="str"/>
      <x:c r="H61" s="5" t="str">
        <x:v>6.4.4.5</x:v>
      </x:c>
      <x:c r="I61" s="5" t="str">
        <x:v>28</x:v>
      </x:c>
      <x:c r="J61" s="5" t="str">
        <x:v>20</x:v>
      </x:c>
      <x:c r="K61" s="5" t="str">
        <x:v>apps/ccli/adapters/iec61850_mms/mms_adapter.cpp; mms_rbac_security.cpp; adapters/iec60870_104/iec104_tls.cpp; core/config/ccli_config.hpp</x:v>
      </x:c>
      <x:c r="L61" s="5" t="str">
        <x:v>HiTEKS security/PKI lead</x:v>
      </x:c>
      <x:c r="M61" s="5" t="str">
        <x:v>Existing implementation area; requirement acceptance open</x:v>
      </x:c>
      <x:c r="N61" s="5" t="str">
        <x:v>Not demonstrated</x:v>
      </x:c>
      <x:c r="O61" s="5" t="str">
        <x:v>Positive and negative identity/trust/revocation tests on both claimed protocol endpoints. Verify: Raise expired-certificate alarm for refusal.</x:v>
      </x:c>
      <x:c r="P61" s="10" t="str"/>
      <x:c r="Q61" s="10" t="str">
        <x:v>Open</x:v>
      </x:c>
      <x:c r="R61" s="10" t="str"/>
      <x:c r="S61" s="10" t="str"/>
      <x:c r="T61" s="10" t="str"/>
      <x:c r="U61" s="5" t="str">
        <x:f>IF(Q61="Closed",IF(AND(R61&lt;&gt;"",S61&lt;&gt;""),"Closed recorded","Missing evidence/reviewer"),IF(Q61="N/A approved",IF(AND(T61&lt;&gt;"",S61&lt;&gt;""),"N/A recorded","Missing applicability approval"),"Open"))</x:f>
        <x:v>Open</x:v>
      </x:c>
      <x:c r="V61" s="5" t="str">
        <x:v>Normativa/EN IEC 62351-3-2023.pdf</x:v>
      </x:c>
      <x:c r="W61" s="5" t="str"/>
    </x:row>
    <x:row r="62" ht="36" customHeight="1">
      <x:c r="A62" s="5" t="str">
        <x:v>TLS-CERT-08-01</x:v>
      </x:c>
      <x:c r="B62" s="5" t="str">
        <x:v>CERT-08</x:v>
      </x:c>
      <x:c r="C62" s="5" t="str">
        <x:v>Signature failure events</x:v>
      </x:c>
      <x:c r="D62" s="5" t="str">
        <x:v>Alarm when certificate signature algorithms cannot be matched</x:v>
      </x:c>
      <x:c r="E62" s="5" t="str">
        <x:v>Mandatory</x:v>
      </x:c>
      <x:c r="F62" s="5" t="str">
        <x:v>All TLS</x:v>
      </x:c>
      <x:c r="G62" s="5" t="str"/>
      <x:c r="H62" s="5" t="str">
        <x:v>6.4.4.6</x:v>
      </x:c>
      <x:c r="I62" s="5" t="str">
        <x:v>29</x:v>
      </x:c>
      <x:c r="J62" s="5" t="str">
        <x:v>21</x:v>
      </x:c>
      <x:c r="K62" s="5" t="str">
        <x:v>apps/ccli/adapters/iec61850_mms/mms_adapter.cpp; mms_rbac_security.cpp; adapters/iec60870_104/iec104_tls.cpp; core/config/ccli_config.hpp</x:v>
      </x:c>
      <x:c r="L62" s="5" t="str">
        <x:v>HiTEKS security/PKI lead</x:v>
      </x:c>
      <x:c r="M62" s="5" t="str">
        <x:v>Existing implementation area; requirement acceptance open</x:v>
      </x:c>
      <x:c r="N62" s="5" t="str">
        <x:v>Not demonstrated</x:v>
      </x:c>
      <x:c r="O62" s="5" t="str">
        <x:v>Positive and negative identity/trust/revocation tests on both claimed protocol endpoints. Verify: Alarm when certificate signature algorithms cannot be matched.</x:v>
      </x:c>
      <x:c r="P62" s="10" t="str"/>
      <x:c r="Q62" s="10" t="str">
        <x:v>Open</x:v>
      </x:c>
      <x:c r="R62" s="10" t="str"/>
      <x:c r="S62" s="10" t="str"/>
      <x:c r="T62" s="10" t="str"/>
      <x:c r="U62" s="5" t="str">
        <x:f>IF(Q62="Closed",IF(AND(R62&lt;&gt;"",S62&lt;&gt;""),"Closed recorded","Missing evidence/reviewer"),IF(Q62="N/A approved",IF(AND(T62&lt;&gt;"",S62&lt;&gt;""),"N/A recorded","Missing applicability approval"),"Open"))</x:f>
        <x:v>Open</x:v>
      </x:c>
      <x:c r="V62" s="5" t="str">
        <x:v>Normativa/EN IEC 62351-3-2023.pdf</x:v>
      </x:c>
      <x:c r="W62" s="5" t="str"/>
    </x:row>
    <x:row r="63" ht="36" customHeight="1">
      <x:c r="A63" s="5" t="str">
        <x:v>TLS-CERT-08-02</x:v>
      </x:c>
      <x:c r="B63" s="5" t="str">
        <x:v>CERT-08</x:v>
      </x:c>
      <x:c r="C63" s="5" t="str">
        <x:v>Signature failure events</x:v>
      </x:c>
      <x:c r="D63" s="5" t="str">
        <x:v>Alarm when a received certificate signature cannot be verified</x:v>
      </x:c>
      <x:c r="E63" s="5" t="str">
        <x:v>Mandatory</x:v>
      </x:c>
      <x:c r="F63" s="5" t="str">
        <x:v>All TLS</x:v>
      </x:c>
      <x:c r="G63" s="5" t="str"/>
      <x:c r="H63" s="5" t="str">
        <x:v>6.4.4.6</x:v>
      </x:c>
      <x:c r="I63" s="5" t="str">
        <x:v>29</x:v>
      </x:c>
      <x:c r="J63" s="5" t="str">
        <x:v>21</x:v>
      </x:c>
      <x:c r="K63" s="5" t="str">
        <x:v>apps/ccli/adapters/iec61850_mms/mms_adapter.cpp; mms_rbac_security.cpp; adapters/iec60870_104/iec104_tls.cpp; core/config/ccli_config.hpp</x:v>
      </x:c>
      <x:c r="L63" s="5" t="str">
        <x:v>HiTEKS security/PKI lead</x:v>
      </x:c>
      <x:c r="M63" s="5" t="str">
        <x:v>Existing implementation area; requirement acceptance open</x:v>
      </x:c>
      <x:c r="N63" s="5" t="str">
        <x:v>Not demonstrated</x:v>
      </x:c>
      <x:c r="O63" s="5" t="str">
        <x:v>Positive and negative identity/trust/revocation tests on both claimed protocol endpoints. Verify: Alarm when a received certificate signature cannot be verified.</x:v>
      </x:c>
      <x:c r="P63" s="10" t="str"/>
      <x:c r="Q63" s="10" t="str">
        <x:v>Open</x:v>
      </x:c>
      <x:c r="R63" s="10" t="str"/>
      <x:c r="S63" s="10" t="str"/>
      <x:c r="T63" s="10" t="str"/>
      <x:c r="U63" s="5" t="str">
        <x:f>IF(Q63="Closed",IF(AND(R63&lt;&gt;"",S63&lt;&gt;""),"Closed recorded","Missing evidence/reviewer"),IF(Q63="N/A approved",IF(AND(T63&lt;&gt;"",S63&lt;&gt;""),"N/A recorded","Missing applicability approval"),"Open"))</x:f>
        <x:v>Open</x:v>
      </x:c>
      <x:c r="V63" s="5" t="str">
        <x:v>Normativa/EN IEC 62351-3-2023.pdf</x:v>
      </x:c>
      <x:c r="W63" s="5" t="str"/>
    </x:row>
    <x:row r="64" ht="47" customHeight="1">
      <x:c r="A64" s="5" t="str">
        <x:v>TLS-12-DISALLOWED-01</x:v>
      </x:c>
      <x:c r="B64" s="5" t="str">
        <x:v>12-DISALLOWED</x:v>
      </x:c>
      <x:c r="C64" s="5" t="str">
        <x:v>Disallowed suites</x:v>
      </x:c>
      <x:c r="D64" s="5" t="str">
        <x:v>Never negotiate TLS_NULL_WITH_NULL_NULL, TLS_RSA_WITH_NULL_MD5, or suites using MD5 authentication or DES encryption</x:v>
      </x:c>
      <x:c r="E64" s="5" t="str">
        <x:v>Prohibited</x:v>
      </x:c>
      <x:c r="F64" s="5" t="str">
        <x:v>TLS1.2</x:v>
      </x:c>
      <x:c r="G64" s="5" t="str"/>
      <x:c r="H64" s="5" t="str">
        <x:v>7.3;Table9</x:v>
      </x:c>
      <x:c r="I64" s="5" t="str">
        <x:v>30,48</x:v>
      </x:c>
      <x:c r="J64" s="5" t="str">
        <x:v>22,40</x:v>
      </x:c>
      <x:c r="K64" s="5" t="str">
        <x:v>apps/ccli/third_party/libiec61850/hal/tls/mbedtls3; adapters/iec61850_mms/mms_adapter.cpp; adapters/iec60870_104/iec104_tls.cpp; cmake/tls_allowlist_validation.cmake</x:v>
      </x:c>
      <x:c r="L64" s="5" t="str">
        <x:v>HiTEKS security + Tespro platform</x:v>
      </x:c>
      <x:c r="M64" s="5" t="str">
        <x:v>Existing implementation area; requirement acceptance open</x:v>
      </x:c>
      <x:c r="N64" s="5" t="str">
        <x:v>Not demonstrated</x:v>
      </x:c>
      <x:c r="O64" s="5" t="str">
        <x:v>Frozen-build algorithm/policy tests, key handling review and negative negotiation evidence. Verify: Never negotiate TLS_NULL_WITH_NULL_NULL, TLS_RSA_WITH_NULL_MD5, or suites using MD5 authentication or DES encryption.</x:v>
      </x:c>
      <x:c r="P64" s="10" t="str"/>
      <x:c r="Q64" s="10" t="str">
        <x:v>Open</x:v>
      </x:c>
      <x:c r="R64" s="10" t="str"/>
      <x:c r="S64" s="10" t="str"/>
      <x:c r="T64" s="10" t="str"/>
      <x:c r="U64" s="5" t="str">
        <x:f>IF(Q64="Closed",IF(AND(R64&lt;&gt;"",S64&lt;&gt;""),"Closed recorded","Missing evidence/reviewer"),IF(Q64="N/A approved",IF(AND(T64&lt;&gt;"",S64&lt;&gt;""),"N/A recorded","Missing applicability approval"),"Open"))</x:f>
        <x:v>Open</x:v>
      </x:c>
      <x:c r="V64" s="5" t="str">
        <x:v>Normativa/EN IEC 62351-3-2023.pdf</x:v>
      </x:c>
      <x:c r="W64" s="5" t="str"/>
    </x:row>
    <x:row r="65" ht="36" customHeight="1">
      <x:c r="A65" s="5" t="str">
        <x:v>TLS-12-DISALLOWED-02</x:v>
      </x:c>
      <x:c r="B65" s="5" t="str">
        <x:v>12-DISALLOWED</x:v>
      </x:c>
      <x:c r="C65" s="5" t="str">
        <x:v>Disallowed suites</x:v>
      </x:c>
      <x:c r="D65" s="5" t="str">
        <x:v>Server alarms if client proposes only disallowed suites</x:v>
      </x:c>
      <x:c r="E65" s="5" t="str">
        <x:v>Prohibited</x:v>
      </x:c>
      <x:c r="F65" s="5" t="str">
        <x:v>TLS1.2</x:v>
      </x:c>
      <x:c r="G65" s="5" t="str"/>
      <x:c r="H65" s="5" t="str">
        <x:v>7.3;Table9</x:v>
      </x:c>
      <x:c r="I65" s="5" t="str">
        <x:v>30,48</x:v>
      </x:c>
      <x:c r="J65" s="5" t="str">
        <x:v>22,40</x:v>
      </x:c>
      <x:c r="K65" s="5" t="str">
        <x:v>apps/ccli/third_party/libiec61850/hal/tls/mbedtls3; adapters/iec61850_mms/mms_adapter.cpp; adapters/iec60870_104/iec104_tls.cpp; cmake/tls_allowlist_validation.cmake</x:v>
      </x:c>
      <x:c r="L65" s="5" t="str">
        <x:v>HiTEKS security + Tespro platform</x:v>
      </x:c>
      <x:c r="M65" s="5" t="str">
        <x:v>Existing implementation area; requirement acceptance open</x:v>
      </x:c>
      <x:c r="N65" s="5" t="str">
        <x:v>Not demonstrated</x:v>
      </x:c>
      <x:c r="O65" s="5" t="str">
        <x:v>Frozen-build algorithm/policy tests, key handling review and negative negotiation evidence. Verify: Server alarms if client proposes only disallowed suites.</x:v>
      </x:c>
      <x:c r="P65" s="10" t="str"/>
      <x:c r="Q65" s="10" t="str">
        <x:v>Open</x:v>
      </x:c>
      <x:c r="R65" s="10" t="str"/>
      <x:c r="S65" s="10" t="str"/>
      <x:c r="T65" s="10" t="str"/>
      <x:c r="U65" s="5" t="str">
        <x:f>IF(Q65="Closed",IF(AND(R65&lt;&gt;"",S65&lt;&gt;""),"Closed recorded","Missing evidence/reviewer"),IF(Q65="N/A approved",IF(AND(T65&lt;&gt;"",S65&lt;&gt;""),"N/A recorded","Missing applicability approval"),"Open"))</x:f>
        <x:v>Open</x:v>
      </x:c>
      <x:c r="V65" s="5" t="str">
        <x:v>Normativa/EN IEC 62351-3-2023.pdf</x:v>
      </x:c>
      <x:c r="W65" s="5" t="str"/>
    </x:row>
    <x:row r="66" ht="36" customHeight="1">
      <x:c r="A66" s="5" t="str">
        <x:v>TLS-12-DISALLOWED-03</x:v>
      </x:c>
      <x:c r="B66" s="5" t="str">
        <x:v>12-DISALLOWED</x:v>
      </x:c>
      <x:c r="C66" s="5" t="str">
        <x:v>Disallowed suites</x:v>
      </x:c>
      <x:c r="D66" s="5" t="str">
        <x:v>Client alarms if server selects a disallowed suite</x:v>
      </x:c>
      <x:c r="E66" s="5" t="str">
        <x:v>Prohibited</x:v>
      </x:c>
      <x:c r="F66" s="5" t="str">
        <x:v>TLS1.2</x:v>
      </x:c>
      <x:c r="G66" s="5" t="str"/>
      <x:c r="H66" s="5" t="str">
        <x:v>7.3;Table9</x:v>
      </x:c>
      <x:c r="I66" s="5" t="str">
        <x:v>30,48</x:v>
      </x:c>
      <x:c r="J66" s="5" t="str">
        <x:v>22,40</x:v>
      </x:c>
      <x:c r="K66" s="5" t="str">
        <x:v>apps/ccli/third_party/libiec61850/hal/tls/mbedtls3; adapters/iec61850_mms/mms_adapter.cpp; adapters/iec60870_104/iec104_tls.cpp; cmake/tls_allowlist_validation.cmake</x:v>
      </x:c>
      <x:c r="L66" s="5" t="str">
        <x:v>HiTEKS security + Tespro platform</x:v>
      </x:c>
      <x:c r="M66" s="5" t="str">
        <x:v>Existing implementation area; requirement acceptance open</x:v>
      </x:c>
      <x:c r="N66" s="5" t="str">
        <x:v>Not demonstrated</x:v>
      </x:c>
      <x:c r="O66" s="5" t="str">
        <x:v>Frozen-build algorithm/policy tests, key handling review and negative negotiation evidence. Verify: Client alarms if server selects a disallowed suite.</x:v>
      </x:c>
      <x:c r="P66" s="10" t="str"/>
      <x:c r="Q66" s="10" t="str">
        <x:v>Open</x:v>
      </x:c>
      <x:c r="R66" s="10" t="str"/>
      <x:c r="S66" s="10" t="str"/>
      <x:c r="T66" s="10" t="str"/>
      <x:c r="U66" s="5" t="str">
        <x:f>IF(Q66="Closed",IF(AND(R66&lt;&gt;"",S66&lt;&gt;""),"Closed recorded","Missing evidence/reviewer"),IF(Q66="N/A approved",IF(AND(T66&lt;&gt;"",S66&lt;&gt;""),"N/A recorded","Missing applicability approval"),"Open"))</x:f>
        <x:v>Open</x:v>
      </x:c>
      <x:c r="V66" s="5" t="str">
        <x:v>Normativa/EN IEC 62351-3-2023.pdf</x:v>
      </x:c>
      <x:c r="W66" s="5" t="str"/>
    </x:row>
    <x:row r="67" ht="36" customHeight="1">
      <x:c r="A67" s="5" t="str">
        <x:v>TLS-12-DISALLOWED-04</x:v>
      </x:c>
      <x:c r="B67" s="5" t="str">
        <x:v>12-DISALLOWED</x:v>
      </x:c>
      <x:c r="C67" s="5" t="str">
        <x:v>Disallowed suites</x:v>
      </x:c>
      <x:c r="D67" s="5" t="str">
        <x:v>Ignore disallowed entries when mixed with acceptable ones</x:v>
      </x:c>
      <x:c r="E67" s="5" t="str">
        <x:v>Prohibited</x:v>
      </x:c>
      <x:c r="F67" s="5" t="str">
        <x:v>TLS1.2</x:v>
      </x:c>
      <x:c r="G67" s="5" t="str"/>
      <x:c r="H67" s="5" t="str">
        <x:v>7.3;Table9</x:v>
      </x:c>
      <x:c r="I67" s="5" t="str">
        <x:v>30,48</x:v>
      </x:c>
      <x:c r="J67" s="5" t="str">
        <x:v>22,40</x:v>
      </x:c>
      <x:c r="K67" s="5" t="str">
        <x:v>apps/ccli/third_party/libiec61850/hal/tls/mbedtls3; adapters/iec61850_mms/mms_adapter.cpp; adapters/iec60870_104/iec104_tls.cpp; cmake/tls_allowlist_validation.cmake</x:v>
      </x:c>
      <x:c r="L67" s="5" t="str">
        <x:v>HiTEKS security + Tespro platform</x:v>
      </x:c>
      <x:c r="M67" s="5" t="str">
        <x:v>Existing implementation area; requirement acceptance open</x:v>
      </x:c>
      <x:c r="N67" s="5" t="str">
        <x:v>Not demonstrated</x:v>
      </x:c>
      <x:c r="O67" s="5" t="str">
        <x:v>Frozen-build algorithm/policy tests, key handling review and negative negotiation evidence. Verify: Ignore disallowed entries when mixed with acceptable ones.</x:v>
      </x:c>
      <x:c r="P67" s="10" t="str"/>
      <x:c r="Q67" s="10" t="str">
        <x:v>Open</x:v>
      </x:c>
      <x:c r="R67" s="10" t="str"/>
      <x:c r="S67" s="10" t="str"/>
      <x:c r="T67" s="10" t="str"/>
      <x:c r="U67" s="5" t="str">
        <x:f>IF(Q67="Closed",IF(AND(R67&lt;&gt;"",S67&lt;&gt;""),"Closed recorded","Missing evidence/reviewer"),IF(Q67="N/A approved",IF(AND(T67&lt;&gt;"",S67&lt;&gt;""),"N/A recorded","Missing applicability approval"),"Open"))</x:f>
        <x:v>Open</x:v>
      </x:c>
      <x:c r="V67" s="5" t="str">
        <x:v>Normativa/EN IEC 62351-3-2023.pdf</x:v>
      </x:c>
      <x:c r="W67" s="5" t="str"/>
    </x:row>
    <x:row r="68" ht="36" customHeight="1">
      <x:c r="A68" s="5" t="str">
        <x:v>TLS-12-DISALLOWED-05</x:v>
      </x:c>
      <x:c r="B68" s="5" t="str">
        <x:v>12-DISALLOWED</x:v>
      </x:c>
      <x:c r="C68" s="5" t="str">
        <x:v>Disallowed suites</x:v>
      </x:c>
      <x:c r="D68" s="5" t="str">
        <x:v>Terminate if only disallowed choices remain</x:v>
      </x:c>
      <x:c r="E68" s="5" t="str">
        <x:v>Prohibited</x:v>
      </x:c>
      <x:c r="F68" s="5" t="str">
        <x:v>TLS1.2</x:v>
      </x:c>
      <x:c r="G68" s="5" t="str"/>
      <x:c r="H68" s="5" t="str">
        <x:v>7.3;Table9</x:v>
      </x:c>
      <x:c r="I68" s="5" t="str">
        <x:v>30,48</x:v>
      </x:c>
      <x:c r="J68" s="5" t="str">
        <x:v>22,40</x:v>
      </x:c>
      <x:c r="K68" s="5" t="str">
        <x:v>apps/ccli/third_party/libiec61850/hal/tls/mbedtls3; adapters/iec61850_mms/mms_adapter.cpp; adapters/iec60870_104/iec104_tls.cpp; cmake/tls_allowlist_validation.cmake</x:v>
      </x:c>
      <x:c r="L68" s="5" t="str">
        <x:v>HiTEKS security + Tespro platform</x:v>
      </x:c>
      <x:c r="M68" s="5" t="str">
        <x:v>Existing implementation area; requirement acceptance open</x:v>
      </x:c>
      <x:c r="N68" s="5" t="str">
        <x:v>Not demonstrated</x:v>
      </x:c>
      <x:c r="O68" s="5" t="str">
        <x:v>Frozen-build algorithm/policy tests, key handling review and negative negotiation evidence. Verify: Terminate if only disallowed choices remain.</x:v>
      </x:c>
      <x:c r="P68" s="10" t="str"/>
      <x:c r="Q68" s="10" t="str">
        <x:v>Open</x:v>
      </x:c>
      <x:c r="R68" s="10" t="str"/>
      <x:c r="S68" s="10" t="str"/>
      <x:c r="T68" s="10" t="str"/>
      <x:c r="U68" s="5" t="str">
        <x:f>IF(Q68="Closed",IF(AND(R68&lt;&gt;"",S68&lt;&gt;""),"Closed recorded","Missing evidence/reviewer"),IF(Q68="N/A approved",IF(AND(T68&lt;&gt;"",S68&lt;&gt;""),"N/A recorded","Missing applicability approval"),"Open"))</x:f>
        <x:v>Open</x:v>
      </x:c>
      <x:c r="V68" s="5" t="str">
        <x:v>Normativa/EN IEC 62351-3-2023.pdf</x:v>
      </x:c>
      <x:c r="W68" s="5" t="str"/>
    </x:row>
    <x:row r="69" ht="36" customHeight="1">
      <x:c r="A69" s="5" t="str">
        <x:v>TLS-12-KEX-01</x:v>
      </x:c>
      <x:c r="B69" s="5" t="str">
        <x:v>12-KEX</x:v>
      </x:c>
      <x:c r="C69" s="5" t="str">
        <x:v>Key exchange mechanisms</x:v>
      </x:c>
      <x:c r="D69" s="5" t="str">
        <x:v>Support RSA encryption, ephemeral DH and ephemeral elliptic-curve DH as required by mandatory suites</x:v>
      </x:c>
      <x:c r="E69" s="5" t="str">
        <x:v>Mandatory</x:v>
      </x:c>
      <x:c r="F69" s="5" t="str">
        <x:v>TLS1.2</x:v>
      </x:c>
      <x:c r="G69" s="5" t="str"/>
      <x:c r="H69" s="5" t="str">
        <x:v>7.4.2</x:v>
      </x:c>
      <x:c r="I69" s="5" t="str">
        <x:v>30</x:v>
      </x:c>
      <x:c r="J69" s="5" t="str">
        <x:v>22</x:v>
      </x:c>
      <x:c r="K69" s="5" t="str">
        <x:v>apps/ccli/third_party/libiec61850/hal/tls/mbedtls3; adapters/iec61850_mms/mms_adapter.cpp; adapters/iec60870_104/iec104_tls.cpp; cmake/tls_allowlist_validation.cmake</x:v>
      </x:c>
      <x:c r="L69" s="5" t="str">
        <x:v>HiTEKS security + Tespro platform</x:v>
      </x:c>
      <x:c r="M69" s="5" t="str">
        <x:v>Existing implementation area; requirement acceptance open</x:v>
      </x:c>
      <x:c r="N69" s="5" t="str">
        <x:v>Not demonstrated</x:v>
      </x:c>
      <x:c r="O69" s="5" t="str">
        <x:v>Frozen-build algorithm/policy tests, key handling review and negative negotiation evidence. Verify: Support RSA encryption, ephemeral DH and ephemeral elliptic-curve DH as required by mandatory suites.</x:v>
      </x:c>
      <x:c r="P69" s="10" t="str"/>
      <x:c r="Q69" s="10" t="str">
        <x:v>Open</x:v>
      </x:c>
      <x:c r="R69" s="10" t="str"/>
      <x:c r="S69" s="10" t="str"/>
      <x:c r="T69" s="10" t="str"/>
      <x:c r="U69" s="5" t="str">
        <x:f>IF(Q69="Closed",IF(AND(R69&lt;&gt;"",S69&lt;&gt;""),"Closed recorded","Missing evidence/reviewer"),IF(Q69="N/A approved",IF(AND(T69&lt;&gt;"",S69&lt;&gt;""),"N/A recorded","Missing applicability approval"),"Open"))</x:f>
        <x:v>Open</x:v>
      </x:c>
      <x:c r="V69" s="5" t="str">
        <x:v>Normativa/EN IEC 62351-3-2023.pdf</x:v>
      </x:c>
      <x:c r="W69" s="5" t="str"/>
    </x:row>
    <x:row r="70" ht="36" customHeight="1">
      <x:c r="A70" s="5" t="str">
        <x:v>TLS-12-ALG-01-01</x:v>
      </x:c>
      <x:c r="B70" s="5" t="str">
        <x:v>12-ALG-01</x:v>
      </x:c>
      <x:c r="C70" s="5" t="str">
        <x:v>RSA/ECDSA support</x:v>
      </x:c>
      <x:c r="D70" s="5" t="str">
        <x:v>Support RSA and ECDSA signatures</x:v>
      </x:c>
      <x:c r="E70" s="5" t="str">
        <x:v>Mandatory</x:v>
      </x:c>
      <x:c r="F70" s="5" t="str">
        <x:v>TLS1.2</x:v>
      </x:c>
      <x:c r="G70" s="5" t="str"/>
      <x:c r="H70" s="5" t="str">
        <x:v>7.4.3;Table10</x:v>
      </x:c>
      <x:c r="I70" s="5" t="str">
        <x:v>30-32,48</x:v>
      </x:c>
      <x:c r="J70" s="5" t="str">
        <x:v>22,24,40</x:v>
      </x:c>
      <x:c r="K70" s="5" t="str">
        <x:v>apps/ccli/third_party/libiec61850/hal/tls/mbedtls3; adapters/iec61850_mms/mms_adapter.cpp; adapters/iec60870_104/iec104_tls.cpp; cmake/tls_allowlist_validation.cmake</x:v>
      </x:c>
      <x:c r="L70" s="5" t="str">
        <x:v>HiTEKS security + Tespro platform</x:v>
      </x:c>
      <x:c r="M70" s="5" t="str">
        <x:v>Existing implementation area; requirement acceptance open</x:v>
      </x:c>
      <x:c r="N70" s="5" t="str">
        <x:v>Not demonstrated</x:v>
      </x:c>
      <x:c r="O70" s="5" t="str">
        <x:v>Frozen-build algorithm/policy tests, key handling review and negative negotiation evidence. Verify: Support RSA and ECDSA signatures.</x:v>
      </x:c>
      <x:c r="P70" s="10" t="str"/>
      <x:c r="Q70" s="10" t="str">
        <x:v>Open</x:v>
      </x:c>
      <x:c r="R70" s="10" t="str"/>
      <x:c r="S70" s="10" t="str"/>
      <x:c r="T70" s="10" t="str"/>
      <x:c r="U70" s="5" t="str">
        <x:f>IF(Q70="Closed",IF(AND(R70&lt;&gt;"",S70&lt;&gt;""),"Closed recorded","Missing evidence/reviewer"),IF(Q70="N/A approved",IF(AND(T70&lt;&gt;"",S70&lt;&gt;""),"N/A recorded","Missing applicability approval"),"Open"))</x:f>
        <x:v>Open</x:v>
      </x:c>
      <x:c r="V70" s="5" t="str">
        <x:v>Normativa/EN IEC 62351-3-2023.pdf</x:v>
      </x:c>
      <x:c r="W70" s="5" t="str"/>
    </x:row>
    <x:row r="71" ht="36" customHeight="1">
      <x:c r="A71" s="5" t="str">
        <x:v>TLS-12-ALG-01-02</x:v>
      </x:c>
      <x:c r="B71" s="5" t="str">
        <x:v>12-ALG-01</x:v>
      </x:c>
      <x:c r="C71" s="5" t="str">
        <x:v>RSA/ECDSA support</x:v>
      </x:c>
      <x:c r="D71" s="5" t="str">
        <x:v>Support RSA 2048 bits</x:v>
      </x:c>
      <x:c r="E71" s="5" t="str">
        <x:v>Mandatory</x:v>
      </x:c>
      <x:c r="F71" s="5" t="str">
        <x:v>TLS1.2</x:v>
      </x:c>
      <x:c r="G71" s="5" t="str"/>
      <x:c r="H71" s="5" t="str">
        <x:v>7.4.3;Table10</x:v>
      </x:c>
      <x:c r="I71" s="5" t="str">
        <x:v>30-32,48</x:v>
      </x:c>
      <x:c r="J71" s="5" t="str">
        <x:v>22,24,40</x:v>
      </x:c>
      <x:c r="K71" s="5" t="str">
        <x:v>apps/ccli/third_party/libiec61850/hal/tls/mbedtls3; adapters/iec61850_mms/mms_adapter.cpp; adapters/iec60870_104/iec104_tls.cpp; cmake/tls_allowlist_validation.cmake</x:v>
      </x:c>
      <x:c r="L71" s="5" t="str">
        <x:v>HiTEKS security + Tespro platform</x:v>
      </x:c>
      <x:c r="M71" s="5" t="str">
        <x:v>Existing implementation area; requirement acceptance open</x:v>
      </x:c>
      <x:c r="N71" s="5" t="str">
        <x:v>Not demonstrated</x:v>
      </x:c>
      <x:c r="O71" s="5" t="str">
        <x:v>Frozen-build algorithm/policy tests, key handling review and negative negotiation evidence. Verify: Support RSA 2048 bits.</x:v>
      </x:c>
      <x:c r="P71" s="10" t="str"/>
      <x:c r="Q71" s="10" t="str">
        <x:v>Open</x:v>
      </x:c>
      <x:c r="R71" s="10" t="str"/>
      <x:c r="S71" s="10" t="str"/>
      <x:c r="T71" s="10" t="str"/>
      <x:c r="U71" s="5" t="str">
        <x:f>IF(Q71="Closed",IF(AND(R71&lt;&gt;"",S71&lt;&gt;""),"Closed recorded","Missing evidence/reviewer"),IF(Q71="N/A approved",IF(AND(T71&lt;&gt;"",S71&lt;&gt;""),"N/A recorded","Missing applicability approval"),"Open"))</x:f>
        <x:v>Open</x:v>
      </x:c>
      <x:c r="V71" s="5" t="str">
        <x:v>Normativa/EN IEC 62351-3-2023.pdf</x:v>
      </x:c>
      <x:c r="W71" s="5" t="str"/>
    </x:row>
    <x:row r="72" ht="36" customHeight="1">
      <x:c r="A72" s="5" t="str">
        <x:v>TLS-12-ALG-01-03</x:v>
      </x:c>
      <x:c r="B72" s="5" t="str">
        <x:v>12-ALG-01</x:v>
      </x:c>
      <x:c r="C72" s="5" t="str">
        <x:v>RSA/ECDSA support</x:v>
      </x:c>
      <x:c r="D72" s="5" t="str">
        <x:v>Support ECDSA at least 256 bits and secp256r1</x:v>
      </x:c>
      <x:c r="E72" s="5" t="str">
        <x:v>Mandatory</x:v>
      </x:c>
      <x:c r="F72" s="5" t="str">
        <x:v>TLS1.2</x:v>
      </x:c>
      <x:c r="G72" s="5" t="str"/>
      <x:c r="H72" s="5" t="str">
        <x:v>7.4.3;Table10</x:v>
      </x:c>
      <x:c r="I72" s="5" t="str">
        <x:v>30-32,48</x:v>
      </x:c>
      <x:c r="J72" s="5" t="str">
        <x:v>22,24,40</x:v>
      </x:c>
      <x:c r="K72" s="5" t="str">
        <x:v>apps/ccli/third_party/libiec61850/hal/tls/mbedtls3; adapters/iec61850_mms/mms_adapter.cpp; adapters/iec60870_104/iec104_tls.cpp; cmake/tls_allowlist_validation.cmake</x:v>
      </x:c>
      <x:c r="L72" s="5" t="str">
        <x:v>HiTEKS security + Tespro platform</x:v>
      </x:c>
      <x:c r="M72" s="5" t="str">
        <x:v>Existing implementation area; requirement acceptance open</x:v>
      </x:c>
      <x:c r="N72" s="5" t="str">
        <x:v>Not demonstrated</x:v>
      </x:c>
      <x:c r="O72" s="5" t="str">
        <x:v>Frozen-build algorithm/policy tests, key handling review and negative negotiation evidence. Verify: Support ECDSA at least 256 bits and secp256r1.</x:v>
      </x:c>
      <x:c r="P72" s="10" t="str"/>
      <x:c r="Q72" s="10" t="str">
        <x:v>Open</x:v>
      </x:c>
      <x:c r="R72" s="10" t="str"/>
      <x:c r="S72" s="10" t="str"/>
      <x:c r="T72" s="10" t="str"/>
      <x:c r="U72" s="5" t="str">
        <x:f>IF(Q72="Closed",IF(AND(R72&lt;&gt;"",S72&lt;&gt;""),"Closed recorded","Missing evidence/reviewer"),IF(Q72="N/A approved",IF(AND(T72&lt;&gt;"",S72&lt;&gt;""),"N/A recorded","Missing applicability approval"),"Open"))</x:f>
        <x:v>Open</x:v>
      </x:c>
      <x:c r="V72" s="5" t="str">
        <x:v>Normativa/EN IEC 62351-3-2023.pdf</x:v>
      </x:c>
      <x:c r="W72" s="5" t="str"/>
    </x:row>
    <x:row r="73" ht="36" customHeight="1">
      <x:c r="A73" s="5" t="str">
        <x:v>TLS-12-ALG-01-04</x:v>
      </x:c>
      <x:c r="B73" s="5" t="str">
        <x:v>12-ALG-01</x:v>
      </x:c>
      <x:c r="C73" s="5" t="str">
        <x:v>RSA/ECDSA support</x:v>
      </x:c>
      <x:c r="D73" s="5" t="str">
        <x:v>Use ecdsa-with-SHA256 identifier for the required signature combination</x:v>
      </x:c>
      <x:c r="E73" s="5" t="str">
        <x:v>Mandatory</x:v>
      </x:c>
      <x:c r="F73" s="5" t="str">
        <x:v>TLS1.2</x:v>
      </x:c>
      <x:c r="G73" s="5" t="str"/>
      <x:c r="H73" s="5" t="str">
        <x:v>7.4.3;Table10</x:v>
      </x:c>
      <x:c r="I73" s="5" t="str">
        <x:v>30-32,48</x:v>
      </x:c>
      <x:c r="J73" s="5" t="str">
        <x:v>22,24,40</x:v>
      </x:c>
      <x:c r="K73" s="5" t="str">
        <x:v>apps/ccli/third_party/libiec61850/hal/tls/mbedtls3; adapters/iec61850_mms/mms_adapter.cpp; adapters/iec60870_104/iec104_tls.cpp; cmake/tls_allowlist_validation.cmake</x:v>
      </x:c>
      <x:c r="L73" s="5" t="str">
        <x:v>HiTEKS security + Tespro platform</x:v>
      </x:c>
      <x:c r="M73" s="5" t="str">
        <x:v>Existing implementation area; requirement acceptance open</x:v>
      </x:c>
      <x:c r="N73" s="5" t="str">
        <x:v>Not demonstrated</x:v>
      </x:c>
      <x:c r="O73" s="5" t="str">
        <x:v>Frozen-build algorithm/policy tests, key handling review and negative negotiation evidence. Verify: Use ecdsa-with-SHA256 identifier for the required signature combination.</x:v>
      </x:c>
      <x:c r="P73" s="10" t="str"/>
      <x:c r="Q73" s="10" t="str">
        <x:v>Open</x:v>
      </x:c>
      <x:c r="R73" s="10" t="str"/>
      <x:c r="S73" s="10" t="str"/>
      <x:c r="T73" s="10" t="str"/>
      <x:c r="U73" s="5" t="str">
        <x:f>IF(Q73="Closed",IF(AND(R73&lt;&gt;"",S73&lt;&gt;""),"Closed recorded","Missing evidence/reviewer"),IF(Q73="N/A approved",IF(AND(T73&lt;&gt;"",S73&lt;&gt;""),"N/A recorded","Missing applicability approval"),"Open"))</x:f>
        <x:v>Open</x:v>
      </x:c>
      <x:c r="V73" s="5" t="str">
        <x:v>Normativa/EN IEC 62351-3-2023.pdf</x:v>
      </x:c>
      <x:c r="W73" s="5" t="str"/>
    </x:row>
    <x:row r="74" ht="36" customHeight="1">
      <x:c r="A74" s="5" t="str">
        <x:v>TLS-12-ALG-01-05</x:v>
      </x:c>
      <x:c r="B74" s="5" t="str">
        <x:v>12-ALG-01</x:v>
      </x:c>
      <x:c r="C74" s="5" t="str">
        <x:v>RSA/ECDSA support</x:v>
      </x:c>
      <x:c r="D74" s="5" t="str">
        <x:v>Support SHA256</x:v>
      </x:c>
      <x:c r="E74" s="5" t="str">
        <x:v>Mandatory</x:v>
      </x:c>
      <x:c r="F74" s="5" t="str">
        <x:v>TLS1.2</x:v>
      </x:c>
      <x:c r="G74" s="5" t="str"/>
      <x:c r="H74" s="5" t="str">
        <x:v>7.4.3;Table10</x:v>
      </x:c>
      <x:c r="I74" s="5" t="str">
        <x:v>30-32,48</x:v>
      </x:c>
      <x:c r="J74" s="5" t="str">
        <x:v>22,24,40</x:v>
      </x:c>
      <x:c r="K74" s="5" t="str">
        <x:v>apps/ccli/third_party/libiec61850/hal/tls/mbedtls3; adapters/iec61850_mms/mms_adapter.cpp; adapters/iec60870_104/iec104_tls.cpp; cmake/tls_allowlist_validation.cmake</x:v>
      </x:c>
      <x:c r="L74" s="5" t="str">
        <x:v>HiTEKS security + Tespro platform</x:v>
      </x:c>
      <x:c r="M74" s="5" t="str">
        <x:v>Existing implementation area; requirement acceptance open</x:v>
      </x:c>
      <x:c r="N74" s="5" t="str">
        <x:v>Not demonstrated</x:v>
      </x:c>
      <x:c r="O74" s="5" t="str">
        <x:v>Frozen-build algorithm/policy tests, key handling review and negative negotiation evidence. Verify: Support SHA256.</x:v>
      </x:c>
      <x:c r="P74" s="10" t="str"/>
      <x:c r="Q74" s="10" t="str">
        <x:v>Open</x:v>
      </x:c>
      <x:c r="R74" s="10" t="str"/>
      <x:c r="S74" s="10" t="str"/>
      <x:c r="T74" s="10" t="str"/>
      <x:c r="U74" s="5" t="str">
        <x:f>IF(Q74="Closed",IF(AND(R74&lt;&gt;"",S74&lt;&gt;""),"Closed recorded","Missing evidence/reviewer"),IF(Q74="N/A approved",IF(AND(T74&lt;&gt;"",S74&lt;&gt;""),"N/A recorded","Missing applicability approval"),"Open"))</x:f>
        <x:v>Open</x:v>
      </x:c>
      <x:c r="V74" s="5" t="str">
        <x:v>Normativa/EN IEC 62351-3-2023.pdf</x:v>
      </x:c>
      <x:c r="W74" s="5" t="str"/>
    </x:row>
    <x:row r="75" ht="36" customHeight="1">
      <x:c r="A75" s="5" t="str">
        <x:v>TLS-12-ALG-02-01</x:v>
      </x:c>
      <x:c r="B75" s="5" t="str">
        <x:v>12-ALG-02</x:v>
      </x:c>
      <x:c r="C75" s="5" t="str">
        <x:v>RSA1024 policy</x:v>
      </x:c>
      <x:c r="D75" s="5" t="str">
        <x:v>Disable RSA1024 by default with distinct authorized enabling</x:v>
      </x:c>
      <x:c r="E75" s="5" t="str">
        <x:v>Conditional mandatory</x:v>
      </x:c>
      <x:c r="F75" s="5" t="str">
        <x:v>RSA1024 compatibility implemented</x:v>
      </x:c>
      <x:c r="G75" s="5" t="str"/>
      <x:c r="H75" s="5" t="str">
        <x:v>7.4.3</x:v>
      </x:c>
      <x:c r="I75" s="5" t="str">
        <x:v>31</x:v>
      </x:c>
      <x:c r="J75" s="5" t="str">
        <x:v>23</x:v>
      </x:c>
      <x:c r="K75" s="5" t="str">
        <x:v>apps/ccli/third_party/libiec61850/hal/tls/mbedtls3; adapters/iec61850_mms/mms_adapter.cpp; adapters/iec60870_104/iec104_tls.cpp; cmake/tls_allowlist_validation.cmake</x:v>
      </x:c>
      <x:c r="L75" s="5" t="str">
        <x:v>HiTEKS security + Tespro platform</x:v>
      </x:c>
      <x:c r="M75" s="5" t="str">
        <x:v>Existing implementation area; requirement acceptance open</x:v>
      </x:c>
      <x:c r="N75" s="5" t="str">
        <x:v>Not demonstrated</x:v>
      </x:c>
      <x:c r="O75" s="5" t="str">
        <x:v>Frozen-build algorithm/policy tests, key handling review and negative negotiation evidence. Verify: Disable RSA1024 by default with distinct authorized enabling.</x:v>
      </x:c>
      <x:c r="P75" s="10" t="str"/>
      <x:c r="Q75" s="10" t="str">
        <x:v>Open</x:v>
      </x:c>
      <x:c r="R75" s="10" t="str"/>
      <x:c r="S75" s="10" t="str"/>
      <x:c r="T75" s="10" t="str"/>
      <x:c r="U75" s="5" t="str">
        <x:f>IF(Q75="Closed",IF(AND(R75&lt;&gt;"",S75&lt;&gt;""),"Closed recorded","Missing evidence/reviewer"),IF(Q75="N/A approved",IF(AND(T75&lt;&gt;"",S75&lt;&gt;""),"N/A recorded","Missing applicability approval"),"Open"))</x:f>
        <x:v>Open</x:v>
      </x:c>
      <x:c r="V75" s="5" t="str">
        <x:v>Normativa/EN IEC 62351-3-2023.pdf</x:v>
      </x:c>
      <x:c r="W75" s="5" t="str"/>
    </x:row>
    <x:row r="76" ht="36" customHeight="1">
      <x:c r="A76" s="5" t="str">
        <x:v>TLS-12-ALG-02-02</x:v>
      </x:c>
      <x:c r="B76" s="5" t="str">
        <x:v>12-ALG-02</x:v>
      </x:c>
      <x:c r="C76" s="5" t="str">
        <x:v>RSA1024 policy</x:v>
      </x:c>
      <x:c r="D76" s="5" t="str">
        <x:v>If legacy use disabled, alarm and refuse RSA keys below 2048</x:v>
      </x:c>
      <x:c r="E76" s="5" t="str">
        <x:v>Conditional mandatory</x:v>
      </x:c>
      <x:c r="F76" s="5" t="str">
        <x:v>RSA1024 compatibility implemented</x:v>
      </x:c>
      <x:c r="G76" s="5" t="str"/>
      <x:c r="H76" s="5" t="str">
        <x:v>7.4.3</x:v>
      </x:c>
      <x:c r="I76" s="5" t="str">
        <x:v>31</x:v>
      </x:c>
      <x:c r="J76" s="5" t="str">
        <x:v>23</x:v>
      </x:c>
      <x:c r="K76" s="5" t="str">
        <x:v>apps/ccli/third_party/libiec61850/hal/tls/mbedtls3; adapters/iec61850_mms/mms_adapter.cpp; adapters/iec60870_104/iec104_tls.cpp; cmake/tls_allowlist_validation.cmake</x:v>
      </x:c>
      <x:c r="L76" s="5" t="str">
        <x:v>HiTEKS security + Tespro platform</x:v>
      </x:c>
      <x:c r="M76" s="5" t="str">
        <x:v>Existing implementation area; requirement acceptance open</x:v>
      </x:c>
      <x:c r="N76" s="5" t="str">
        <x:v>Not demonstrated</x:v>
      </x:c>
      <x:c r="O76" s="5" t="str">
        <x:v>Frozen-build algorithm/policy tests, key handling review and negative negotiation evidence. Verify: If legacy use disabled, alarm and refuse RSA keys below 2048.</x:v>
      </x:c>
      <x:c r="P76" s="10" t="str"/>
      <x:c r="Q76" s="10" t="str">
        <x:v>Open</x:v>
      </x:c>
      <x:c r="R76" s="10" t="str"/>
      <x:c r="S76" s="10" t="str"/>
      <x:c r="T76" s="10" t="str"/>
      <x:c r="U76" s="5" t="str">
        <x:f>IF(Q76="Closed",IF(AND(R76&lt;&gt;"",S76&lt;&gt;""),"Closed recorded","Missing evidence/reviewer"),IF(Q76="N/A approved",IF(AND(T76&lt;&gt;"",S76&lt;&gt;""),"N/A recorded","Missing applicability approval"),"Open"))</x:f>
        <x:v>Open</x:v>
      </x:c>
      <x:c r="V76" s="5" t="str">
        <x:v>Normativa/EN IEC 62351-3-2023.pdf</x:v>
      </x:c>
      <x:c r="W76" s="5" t="str"/>
    </x:row>
    <x:row r="77" ht="36" customHeight="1">
      <x:c r="A77" s="5" t="str">
        <x:v>TLS-12-ALG-02-03</x:v>
      </x:c>
      <x:c r="B77" s="5" t="str">
        <x:v>12-ALG-02</x:v>
      </x:c>
      <x:c r="C77" s="5" t="str">
        <x:v>RSA1024 policy</x:v>
      </x:c>
      <x:c r="D77" s="5" t="str">
        <x:v>If legacy use enabled, warn on 1024-to-under2048 keys</x:v>
      </x:c>
      <x:c r="E77" s="5" t="str">
        <x:v>Conditional mandatory</x:v>
      </x:c>
      <x:c r="F77" s="5" t="str">
        <x:v>RSA1024 compatibility implemented</x:v>
      </x:c>
      <x:c r="G77" s="5" t="str"/>
      <x:c r="H77" s="5" t="str">
        <x:v>7.4.3</x:v>
      </x:c>
      <x:c r="I77" s="5" t="str">
        <x:v>31</x:v>
      </x:c>
      <x:c r="J77" s="5" t="str">
        <x:v>23</x:v>
      </x:c>
      <x:c r="K77" s="5" t="str">
        <x:v>apps/ccli/third_party/libiec61850/hal/tls/mbedtls3; adapters/iec61850_mms/mms_adapter.cpp; adapters/iec60870_104/iec104_tls.cpp; cmake/tls_allowlist_validation.cmake</x:v>
      </x:c>
      <x:c r="L77" s="5" t="str">
        <x:v>HiTEKS security + Tespro platform</x:v>
      </x:c>
      <x:c r="M77" s="5" t="str">
        <x:v>Existing implementation area; requirement acceptance open</x:v>
      </x:c>
      <x:c r="N77" s="5" t="str">
        <x:v>Not demonstrated</x:v>
      </x:c>
      <x:c r="O77" s="5" t="str">
        <x:v>Frozen-build algorithm/policy tests, key handling review and negative negotiation evidence. Verify: If legacy use enabled, warn on 1024-to-under2048 keys.</x:v>
      </x:c>
      <x:c r="P77" s="10" t="str"/>
      <x:c r="Q77" s="10" t="str">
        <x:v>Open</x:v>
      </x:c>
      <x:c r="R77" s="10" t="str"/>
      <x:c r="S77" s="10" t="str"/>
      <x:c r="T77" s="10" t="str"/>
      <x:c r="U77" s="5" t="str">
        <x:f>IF(Q77="Closed",IF(AND(R77&lt;&gt;"",S77&lt;&gt;""),"Closed recorded","Missing evidence/reviewer"),IF(Q77="N/A approved",IF(AND(T77&lt;&gt;"",S77&lt;&gt;""),"N/A recorded","Missing applicability approval"),"Open"))</x:f>
        <x:v>Open</x:v>
      </x:c>
      <x:c r="V77" s="5" t="str">
        <x:v>Normativa/EN IEC 62351-3-2023.pdf</x:v>
      </x:c>
      <x:c r="W77" s="5" t="str"/>
    </x:row>
    <x:row r="78" ht="36" customHeight="1">
      <x:c r="A78" s="5" t="str">
        <x:v>TLS-12-ALG-03-01</x:v>
      </x:c>
      <x:c r="B78" s="5" t="str">
        <x:v>12-ALG-03</x:v>
      </x:c>
      <x:c r="C78" s="5" t="str">
        <x:v>Reject tiny RSA</x:v>
      </x:c>
      <x:c r="D78" s="5" t="str">
        <x:v>Never use RSA keys below 1024 bits</x:v>
      </x:c>
      <x:c r="E78" s="5" t="str">
        <x:v>Prohibited</x:v>
      </x:c>
      <x:c r="F78" s="5" t="str">
        <x:v>TLS1.2</x:v>
      </x:c>
      <x:c r="G78" s="5" t="str"/>
      <x:c r="H78" s="5" t="str">
        <x:v>7.4.3</x:v>
      </x:c>
      <x:c r="I78" s="5" t="str">
        <x:v>31</x:v>
      </x:c>
      <x:c r="J78" s="5" t="str">
        <x:v>23</x:v>
      </x:c>
      <x:c r="K78" s="5" t="str">
        <x:v>apps/ccli/third_party/libiec61850/hal/tls/mbedtls3; adapters/iec61850_mms/mms_adapter.cpp; adapters/iec60870_104/iec104_tls.cpp; cmake/tls_allowlist_validation.cmake</x:v>
      </x:c>
      <x:c r="L78" s="5" t="str">
        <x:v>HiTEKS security + Tespro platform</x:v>
      </x:c>
      <x:c r="M78" s="5" t="str">
        <x:v>Existing implementation area; requirement acceptance open</x:v>
      </x:c>
      <x:c r="N78" s="5" t="str">
        <x:v>Not demonstrated</x:v>
      </x:c>
      <x:c r="O78" s="5" t="str">
        <x:v>Frozen-build algorithm/policy tests, key handling review and negative negotiation evidence. Verify: Never use RSA keys below 1024 bits.</x:v>
      </x:c>
      <x:c r="P78" s="10" t="str"/>
      <x:c r="Q78" s="10" t="str">
        <x:v>Open</x:v>
      </x:c>
      <x:c r="R78" s="10" t="str"/>
      <x:c r="S78" s="10" t="str"/>
      <x:c r="T78" s="10" t="str"/>
      <x:c r="U78" s="5" t="str">
        <x:f>IF(Q78="Closed",IF(AND(R78&lt;&gt;"",S78&lt;&gt;""),"Closed recorded","Missing evidence/reviewer"),IF(Q78="N/A approved",IF(AND(T78&lt;&gt;"",S78&lt;&gt;""),"N/A recorded","Missing applicability approval"),"Open"))</x:f>
        <x:v>Open</x:v>
      </x:c>
      <x:c r="V78" s="5" t="str">
        <x:v>Normativa/EN IEC 62351-3-2023.pdf</x:v>
      </x:c>
      <x:c r="W78" s="5" t="str"/>
    </x:row>
    <x:row r="79" ht="36" customHeight="1">
      <x:c r="A79" s="5" t="str">
        <x:v>TLS-12-ALG-03-02</x:v>
      </x:c>
      <x:c r="B79" s="5" t="str">
        <x:v>12-ALG-03</x:v>
      </x:c>
      <x:c r="C79" s="5" t="str">
        <x:v>Reject tiny RSA</x:v>
      </x:c>
      <x:c r="D79" s="5" t="str">
        <x:v>Alarm and terminate on such keys</x:v>
      </x:c>
      <x:c r="E79" s="5" t="str">
        <x:v>Prohibited</x:v>
      </x:c>
      <x:c r="F79" s="5" t="str">
        <x:v>TLS1.2</x:v>
      </x:c>
      <x:c r="G79" s="5" t="str"/>
      <x:c r="H79" s="5" t="str">
        <x:v>7.4.3</x:v>
      </x:c>
      <x:c r="I79" s="5" t="str">
        <x:v>31</x:v>
      </x:c>
      <x:c r="J79" s="5" t="str">
        <x:v>23</x:v>
      </x:c>
      <x:c r="K79" s="5" t="str">
        <x:v>apps/ccli/third_party/libiec61850/hal/tls/mbedtls3; adapters/iec61850_mms/mms_adapter.cpp; adapters/iec60870_104/iec104_tls.cpp; cmake/tls_allowlist_validation.cmake</x:v>
      </x:c>
      <x:c r="L79" s="5" t="str">
        <x:v>HiTEKS security + Tespro platform</x:v>
      </x:c>
      <x:c r="M79" s="5" t="str">
        <x:v>Existing implementation area; requirement acceptance open</x:v>
      </x:c>
      <x:c r="N79" s="5" t="str">
        <x:v>Not demonstrated</x:v>
      </x:c>
      <x:c r="O79" s="5" t="str">
        <x:v>Frozen-build algorithm/policy tests, key handling review and negative negotiation evidence. Verify: Alarm and terminate on such keys.</x:v>
      </x:c>
      <x:c r="P79" s="10" t="str"/>
      <x:c r="Q79" s="10" t="str">
        <x:v>Open</x:v>
      </x:c>
      <x:c r="R79" s="10" t="str"/>
      <x:c r="S79" s="10" t="str"/>
      <x:c r="T79" s="10" t="str"/>
      <x:c r="U79" s="5" t="str">
        <x:f>IF(Q79="Closed",IF(AND(R79&lt;&gt;"",S79&lt;&gt;""),"Closed recorded","Missing evidence/reviewer"),IF(Q79="N/A approved",IF(AND(T79&lt;&gt;"",S79&lt;&gt;""),"N/A recorded","Missing applicability approval"),"Open"))</x:f>
        <x:v>Open</x:v>
      </x:c>
      <x:c r="V79" s="5" t="str">
        <x:v>Normativa/EN IEC 62351-3-2023.pdf</x:v>
      </x:c>
      <x:c r="W79" s="5" t="str"/>
    </x:row>
    <x:row r="80" ht="36" customHeight="1">
      <x:c r="A80" s="5" t="str">
        <x:v>TLS-12-ALG-04-01</x:v>
      </x:c>
      <x:c r="B80" s="5" t="str">
        <x:v>12-ALG-04</x:v>
      </x:c>
      <x:c r="C80" s="5" t="str">
        <x:v>Hash policy</x:v>
      </x:c>
      <x:c r="D80" s="5" t="str">
        <x:v>Allow security policy to disallow optional hashing algorithms</x:v>
      </x:c>
      <x:c r="E80" s="5" t="str">
        <x:v>Conditional mandatory</x:v>
      </x:c>
      <x:c r="F80" s="5" t="str">
        <x:v>Optional/deprecated hashes</x:v>
      </x:c>
      <x:c r="G80" s="5" t="str"/>
      <x:c r="H80" s="5" t="str">
        <x:v>7.4.3;7.5.4</x:v>
      </x:c>
      <x:c r="I80" s="5" t="str">
        <x:v>31-32,35-36</x:v>
      </x:c>
      <x:c r="J80" s="5" t="str">
        <x:v>23,24,27,28</x:v>
      </x:c>
      <x:c r="K80" s="5" t="str">
        <x:v>apps/ccli/third_party/libiec61850/hal/tls/mbedtls3; adapters/iec61850_mms/mms_adapter.cpp; adapters/iec60870_104/iec104_tls.cpp; cmake/tls_allowlist_validation.cmake</x:v>
      </x:c>
      <x:c r="L80" s="5" t="str">
        <x:v>HiTEKS security + Tespro platform</x:v>
      </x:c>
      <x:c r="M80" s="5" t="str">
        <x:v>Existing implementation area; requirement acceptance open</x:v>
      </x:c>
      <x:c r="N80" s="5" t="str">
        <x:v>Not demonstrated</x:v>
      </x:c>
      <x:c r="O80" s="5" t="str">
        <x:v>Frozen-build algorithm/policy tests, key handling review and negative negotiation evidence. Verify: Allow security policy to disallow optional hashing algorithms.</x:v>
      </x:c>
      <x:c r="P80" s="10" t="str"/>
      <x:c r="Q80" s="10" t="str">
        <x:v>Open</x:v>
      </x:c>
      <x:c r="R80" s="10" t="str"/>
      <x:c r="S80" s="10" t="str"/>
      <x:c r="T80" s="10" t="str"/>
      <x:c r="U80" s="5" t="str">
        <x:f>IF(Q80="Closed",IF(AND(R80&lt;&gt;"",S80&lt;&gt;""),"Closed recorded","Missing evidence/reviewer"),IF(Q80="N/A approved",IF(AND(T80&lt;&gt;"",S80&lt;&gt;""),"N/A recorded","Missing applicability approval"),"Open"))</x:f>
        <x:v>Open</x:v>
      </x:c>
      <x:c r="V80" s="5" t="str">
        <x:v>Normativa/EN IEC 62351-3-2023.pdf</x:v>
      </x:c>
      <x:c r="W80" s="5" t="str"/>
    </x:row>
    <x:row r="81" ht="36" customHeight="1">
      <x:c r="A81" s="5" t="str">
        <x:v>TLS-12-ALG-04-02</x:v>
      </x:c>
      <x:c r="B81" s="5" t="str">
        <x:v>12-ALG-04</x:v>
      </x:c>
      <x:c r="C81" s="5" t="str">
        <x:v>Hash policy</x:v>
      </x:c>
      <x:c r="D81" s="5" t="str">
        <x:v>Warn when SHA1 is used</x:v>
      </x:c>
      <x:c r="E81" s="5" t="str">
        <x:v>Conditional mandatory</x:v>
      </x:c>
      <x:c r="F81" s="5" t="str">
        <x:v>Optional/deprecated hashes</x:v>
      </x:c>
      <x:c r="G81" s="5" t="str"/>
      <x:c r="H81" s="5" t="str">
        <x:v>7.4.3;7.5.4</x:v>
      </x:c>
      <x:c r="I81" s="5" t="str">
        <x:v>31-32,35-36</x:v>
      </x:c>
      <x:c r="J81" s="5" t="str">
        <x:v>23,24,27,28</x:v>
      </x:c>
      <x:c r="K81" s="5" t="str">
        <x:v>apps/ccli/third_party/libiec61850/hal/tls/mbedtls3; adapters/iec61850_mms/mms_adapter.cpp; adapters/iec60870_104/iec104_tls.cpp; cmake/tls_allowlist_validation.cmake</x:v>
      </x:c>
      <x:c r="L81" s="5" t="str">
        <x:v>HiTEKS security + Tespro platform</x:v>
      </x:c>
      <x:c r="M81" s="5" t="str">
        <x:v>Existing implementation area; requirement acceptance open</x:v>
      </x:c>
      <x:c r="N81" s="5" t="str">
        <x:v>Not demonstrated</x:v>
      </x:c>
      <x:c r="O81" s="5" t="str">
        <x:v>Frozen-build algorithm/policy tests, key handling review and negative negotiation evidence. Verify: Warn when SHA1 is used.</x:v>
      </x:c>
      <x:c r="P81" s="10" t="str"/>
      <x:c r="Q81" s="10" t="str">
        <x:v>Open</x:v>
      </x:c>
      <x:c r="R81" s="10" t="str"/>
      <x:c r="S81" s="10" t="str"/>
      <x:c r="T81" s="10" t="str"/>
      <x:c r="U81" s="5" t="str">
        <x:f>IF(Q81="Closed",IF(AND(R81&lt;&gt;"",S81&lt;&gt;""),"Closed recorded","Missing evidence/reviewer"),IF(Q81="N/A approved",IF(AND(T81&lt;&gt;"",S81&lt;&gt;""),"N/A recorded","Missing applicability approval"),"Open"))</x:f>
        <x:v>Open</x:v>
      </x:c>
      <x:c r="V81" s="5" t="str">
        <x:v>Normativa/EN IEC 62351-3-2023.pdf</x:v>
      </x:c>
      <x:c r="W81" s="5" t="str"/>
    </x:row>
    <x:row r="82" ht="36" customHeight="1">
      <x:c r="A82" s="5" t="str">
        <x:v>TLS-12-ALG-04-03</x:v>
      </x:c>
      <x:c r="B82" s="5" t="str">
        <x:v>12-ALG-04</x:v>
      </x:c>
      <x:c r="C82" s="5" t="str">
        <x:v>Hash policy</x:v>
      </x:c>
      <x:c r="D82" s="5" t="str">
        <x:v>Use signature_algorithms to signal supported signature/hash combinations</x:v>
      </x:c>
      <x:c r="E82" s="5" t="str">
        <x:v>Conditional mandatory</x:v>
      </x:c>
      <x:c r="F82" s="5" t="str">
        <x:v>Optional/deprecated hashes</x:v>
      </x:c>
      <x:c r="G82" s="5" t="str"/>
      <x:c r="H82" s="5" t="str">
        <x:v>7.4.3;7.5.4</x:v>
      </x:c>
      <x:c r="I82" s="5" t="str">
        <x:v>31-32,35-36</x:v>
      </x:c>
      <x:c r="J82" s="5" t="str">
        <x:v>23,24,27,28</x:v>
      </x:c>
      <x:c r="K82" s="5" t="str">
        <x:v>apps/ccli/third_party/libiec61850/hal/tls/mbedtls3; adapters/iec61850_mms/mms_adapter.cpp; adapters/iec60870_104/iec104_tls.cpp; cmake/tls_allowlist_validation.cmake</x:v>
      </x:c>
      <x:c r="L82" s="5" t="str">
        <x:v>HiTEKS security + Tespro platform</x:v>
      </x:c>
      <x:c r="M82" s="5" t="str">
        <x:v>Existing implementation area; requirement acceptance open</x:v>
      </x:c>
      <x:c r="N82" s="5" t="str">
        <x:v>Not demonstrated</x:v>
      </x:c>
      <x:c r="O82" s="5" t="str">
        <x:v>Frozen-build algorithm/policy tests, key handling review and negative negotiation evidence. Verify: Use signature_algorithms to signal supported signature/hash combinations.</x:v>
      </x:c>
      <x:c r="P82" s="10" t="str"/>
      <x:c r="Q82" s="10" t="str">
        <x:v>Open</x:v>
      </x:c>
      <x:c r="R82" s="10" t="str"/>
      <x:c r="S82" s="10" t="str"/>
      <x:c r="T82" s="10" t="str"/>
      <x:c r="U82" s="5" t="str">
        <x:f>IF(Q82="Closed",IF(AND(R82&lt;&gt;"",S82&lt;&gt;""),"Closed recorded","Missing evidence/reviewer"),IF(Q82="N/A approved",IF(AND(T82&lt;&gt;"",S82&lt;&gt;""),"N/A recorded","Missing applicability approval"),"Open"))</x:f>
        <x:v>Open</x:v>
      </x:c>
      <x:c r="V82" s="5" t="str">
        <x:v>Normativa/EN IEC 62351-3-2023.pdf</x:v>
      </x:c>
      <x:c r="W82" s="5" t="str"/>
    </x:row>
    <x:row r="83" ht="36" customHeight="1">
      <x:c r="A83" s="5" t="str">
        <x:v>TLS-12-RES-01-01</x:v>
      </x:c>
      <x:c r="B83" s="5" t="str">
        <x:v>12-RES-01</x:v>
      </x:c>
      <x:c r="C83" s="5" t="str">
        <x:v>Active resumption</x:v>
      </x:c>
      <x:c r="D83" s="5" t="str">
        <x:v>Perform resumption/key refresh at regular intervals during active sessions</x:v>
      </x:c>
      <x:c r="E83" s="5" t="str">
        <x:v>Mandatory</x:v>
      </x:c>
      <x:c r="F83" s="5" t="str">
        <x:v>TLS1.2</x:v>
      </x:c>
      <x:c r="G83" s="5" t="str"/>
      <x:c r="H83" s="5" t="str">
        <x:v>7.4.4</x:v>
      </x:c>
      <x:c r="I83" s="5" t="str">
        <x:v>32</x:v>
      </x:c>
      <x:c r="J83" s="5" t="str">
        <x:v>24</x:v>
      </x:c>
      <x:c r="K83" s="5" t="str">
        <x:v>apps/ccli/third_party/libiec61850/hal/tls/mbedtls3; adapters/iec61850_mms/mms_adapter.cpp; adapters/iec60870_104/iec104_tls.cpp; cmake/tls_allowlist_validation.cmake</x:v>
      </x:c>
      <x:c r="L83" s="5" t="str">
        <x:v>HiTEKS security + Tespro platform</x:v>
      </x:c>
      <x:c r="M83" s="5" t="str">
        <x:v>Gap: application timers not configured; backend auto-renegotiation disabled</x:v>
      </x:c>
      <x:c r="N83" s="5" t="str">
        <x:v>Gap: adapter interval-setting calls absent; pinned backend still needs verification</x:v>
      </x:c>
      <x:c r="O83" s="5" t="str">
        <x:v>Frozen-build algorithm/policy tests, key handling review and negative negotiation evidence. Verify: Perform resumption/key refresh at regular intervals during active sessions.</x:v>
      </x:c>
      <x:c r="P83" s="10" t="str"/>
      <x:c r="Q83" s="10" t="str">
        <x:v>Open</x:v>
      </x:c>
      <x:c r="R83" s="10" t="str"/>
      <x:c r="S83" s="10" t="str"/>
      <x:c r="T83" s="10" t="str"/>
      <x:c r="U83" s="5" t="str">
        <x:f>IF(Q83="Closed",IF(AND(R83&lt;&gt;"",S83&lt;&gt;""),"Closed recorded","Missing evidence/reviewer"),IF(Q83="N/A approved",IF(AND(T83&lt;&gt;"",S83&lt;&gt;""),"N/A recorded","Missing applicability approval"),"Open"))</x:f>
        <x:v>Open</x:v>
      </x:c>
      <x:c r="V83" s="5" t="str">
        <x:v>Normativa/EN IEC 62351-3-2023.pdf</x:v>
      </x:c>
      <x:c r="W83" s="5" t="str"/>
    </x:row>
    <x:row r="84" ht="36" customHeight="1">
      <x:c r="A84" s="5" t="str">
        <x:v>TLS-12-RES-01-02</x:v>
      </x:c>
      <x:c r="B84" s="5" t="str">
        <x:v>12-RES-01</x:v>
      </x:c>
      <x:c r="C84" s="5" t="str">
        <x:v>Active resumption</x:v>
      </x:c>
      <x:c r="D84" s="5" t="str">
        <x:v>Expose configurable active-session resumption intervals</x:v>
      </x:c>
      <x:c r="E84" s="5" t="str">
        <x:v>Mandatory</x:v>
      </x:c>
      <x:c r="F84" s="5" t="str">
        <x:v>TLS1.2</x:v>
      </x:c>
      <x:c r="G84" s="5" t="str"/>
      <x:c r="H84" s="5" t="str">
        <x:v>7.4.4</x:v>
      </x:c>
      <x:c r="I84" s="5" t="str">
        <x:v>32</x:v>
      </x:c>
      <x:c r="J84" s="5" t="str">
        <x:v>24</x:v>
      </x:c>
      <x:c r="K84" s="5" t="str">
        <x:v>apps/ccli/third_party/libiec61850/hal/tls/mbedtls3; adapters/iec61850_mms/mms_adapter.cpp; adapters/iec60870_104/iec104_tls.cpp; cmake/tls_allowlist_validation.cmake</x:v>
      </x:c>
      <x:c r="L84" s="5" t="str">
        <x:v>HiTEKS security + Tespro platform</x:v>
      </x:c>
      <x:c r="M84" s="5" t="str">
        <x:v>Gap: application timers not configured; backend auto-renegotiation disabled</x:v>
      </x:c>
      <x:c r="N84" s="5" t="str">
        <x:v>Gap: adapter interval-setting calls absent; pinned backend still needs verification</x:v>
      </x:c>
      <x:c r="O84" s="5" t="str">
        <x:v>Frozen-build algorithm/policy tests, key handling review and negative negotiation evidence. Verify: Expose configurable active-session resumption intervals.</x:v>
      </x:c>
      <x:c r="P84" s="10" t="str"/>
      <x:c r="Q84" s="10" t="str">
        <x:v>Open</x:v>
      </x:c>
      <x:c r="R84" s="10" t="str"/>
      <x:c r="S84" s="10" t="str"/>
      <x:c r="T84" s="10" t="str"/>
      <x:c r="U84" s="5" t="str">
        <x:f>IF(Q84="Closed",IF(AND(R84&lt;&gt;"",S84&lt;&gt;""),"Closed recorded","Missing evidence/reviewer"),IF(Q84="N/A approved",IF(AND(T84&lt;&gt;"",S84&lt;&gt;""),"N/A recorded","Missing applicability approval"),"Open"))</x:f>
        <x:v>Open</x:v>
      </x:c>
      <x:c r="V84" s="5" t="str">
        <x:v>Normativa/EN IEC 62351-3-2023.pdf</x:v>
      </x:c>
      <x:c r="W84" s="5" t="str"/>
    </x:row>
    <x:row r="85" ht="36" customHeight="1">
      <x:c r="A85" s="5" t="str">
        <x:v>TLS-12-RES-01-03</x:v>
      </x:c>
      <x:c r="B85" s="5" t="str">
        <x:v>12-RES-01</x:v>
      </x:c>
      <x:c r="C85" s="5" t="str">
        <x:v>Active resumption</x:v>
      </x:c>
      <x:c r="D85" s="5" t="str">
        <x:v>For clients initiate via ClientHello</x:v>
      </x:c>
      <x:c r="E85" s="5" t="str">
        <x:v>Mandatory</x:v>
      </x:c>
      <x:c r="F85" s="5" t="str">
        <x:v>TLS1.2</x:v>
      </x:c>
      <x:c r="G85" s="5" t="str"/>
      <x:c r="H85" s="5" t="str">
        <x:v>7.4.4</x:v>
      </x:c>
      <x:c r="I85" s="5" t="str">
        <x:v>32</x:v>
      </x:c>
      <x:c r="J85" s="5" t="str">
        <x:v>24</x:v>
      </x:c>
      <x:c r="K85" s="5" t="str">
        <x:v>apps/ccli/third_party/libiec61850/hal/tls/mbedtls3; adapters/iec61850_mms/mms_adapter.cpp; adapters/iec60870_104/iec104_tls.cpp; cmake/tls_allowlist_validation.cmake</x:v>
      </x:c>
      <x:c r="L85" s="5" t="str">
        <x:v>HiTEKS security + Tespro platform</x:v>
      </x:c>
      <x:c r="M85" s="5" t="str">
        <x:v>Gap: application timers not configured; backend auto-renegotiation disabled</x:v>
      </x:c>
      <x:c r="N85" s="5" t="str">
        <x:v>Gap: adapter interval-setting calls absent; pinned backend still needs verification</x:v>
      </x:c>
      <x:c r="O85" s="5" t="str">
        <x:v>Frozen-build algorithm/policy tests, key handling review and negative negotiation evidence. Verify: For clients initiate via ClientHello.</x:v>
      </x:c>
      <x:c r="P85" s="10" t="str"/>
      <x:c r="Q85" s="10" t="str">
        <x:v>Open</x:v>
      </x:c>
      <x:c r="R85" s="10" t="str"/>
      <x:c r="S85" s="10" t="str"/>
      <x:c r="T85" s="10" t="str"/>
      <x:c r="U85" s="5" t="str">
        <x:f>IF(Q85="Closed",IF(AND(R85&lt;&gt;"",S85&lt;&gt;""),"Closed recorded","Missing evidence/reviewer"),IF(Q85="N/A approved",IF(AND(T85&lt;&gt;"",S85&lt;&gt;""),"N/A recorded","Missing applicability approval"),"Open"))</x:f>
        <x:v>Open</x:v>
      </x:c>
      <x:c r="V85" s="5" t="str">
        <x:v>Normativa/EN IEC 62351-3-2023.pdf</x:v>
      </x:c>
      <x:c r="W85" s="5" t="str"/>
    </x:row>
    <x:row r="86" ht="36" customHeight="1">
      <x:c r="A86" s="5" t="str">
        <x:v>TLS-12-RES-02-01</x:v>
      </x:c>
      <x:c r="B86" s="5" t="str">
        <x:v>12-RES-02</x:v>
      </x:c>
      <x:c r="C86" s="5" t="str">
        <x:v>Resumption expiry</x:v>
      </x:c>
      <x:c r="D86" s="5" t="str">
        <x:v>Do not resume ended sessions later than24 hours or session-ID expiry</x:v>
      </x:c>
      <x:c r="E86" s="5" t="str">
        <x:v>Conditional mandatory</x:v>
      </x:c>
      <x:c r="F86" s="5" t="str">
        <x:v>Ended-session resumption</x:v>
      </x:c>
      <x:c r="G86" s="5" t="str"/>
      <x:c r="H86" s="5" t="str">
        <x:v>7.4.4</x:v>
      </x:c>
      <x:c r="I86" s="5" t="str">
        <x:v>32</x:v>
      </x:c>
      <x:c r="J86" s="5" t="str">
        <x:v>24</x:v>
      </x:c>
      <x:c r="K86" s="5" t="str">
        <x:v>apps/ccli/third_party/libiec61850/hal/tls/mbedtls3; adapters/iec61850_mms/mms_adapter.cpp; adapters/iec60870_104/iec104_tls.cpp; cmake/tls_allowlist_validation.cmake</x:v>
      </x:c>
      <x:c r="L86" s="5" t="str">
        <x:v>HiTEKS security + Tespro platform</x:v>
      </x:c>
      <x:c r="M86" s="5" t="str">
        <x:v>Existing implementation area; requirement acceptance open</x:v>
      </x:c>
      <x:c r="N86" s="5" t="str">
        <x:v>Not demonstrated</x:v>
      </x:c>
      <x:c r="O86" s="5" t="str">
        <x:v>Frozen-build algorithm/policy tests, key handling review and negative negotiation evidence. Verify: Do not resume ended sessions later than24 hours or session-ID expiry.</x:v>
      </x:c>
      <x:c r="P86" s="10" t="str"/>
      <x:c r="Q86" s="10" t="str">
        <x:v>Open</x:v>
      </x:c>
      <x:c r="R86" s="10" t="str"/>
      <x:c r="S86" s="10" t="str"/>
      <x:c r="T86" s="10" t="str"/>
      <x:c r="U86" s="5" t="str">
        <x:f>IF(Q86="Closed",IF(AND(R86&lt;&gt;"",S86&lt;&gt;""),"Closed recorded","Missing evidence/reviewer"),IF(Q86="N/A approved",IF(AND(T86&lt;&gt;"",S86&lt;&gt;""),"N/A recorded","Missing applicability approval"),"Open"))</x:f>
        <x:v>Open</x:v>
      </x:c>
      <x:c r="V86" s="5" t="str">
        <x:v>Normativa/EN IEC 62351-3-2023.pdf</x:v>
      </x:c>
      <x:c r="W86" s="5" t="str"/>
    </x:row>
    <x:row r="87" ht="36" customHeight="1">
      <x:c r="A87" s="5" t="str">
        <x:v>TLS-12-RES-02-02</x:v>
      </x:c>
      <x:c r="B87" s="5" t="str">
        <x:v>12-RES-02</x:v>
      </x:c>
      <x:c r="C87" s="5" t="str">
        <x:v>Resumption expiry</x:v>
      </x:c>
      <x:c r="D87" s="5" t="str">
        <x:v>Fall back to full handshake for expired session IDs</x:v>
      </x:c>
      <x:c r="E87" s="5" t="str">
        <x:v>Conditional mandatory</x:v>
      </x:c>
      <x:c r="F87" s="5" t="str">
        <x:v>Ended-session resumption</x:v>
      </x:c>
      <x:c r="G87" s="5" t="str"/>
      <x:c r="H87" s="5" t="str">
        <x:v>7.4.4</x:v>
      </x:c>
      <x:c r="I87" s="5" t="str">
        <x:v>32</x:v>
      </x:c>
      <x:c r="J87" s="5" t="str">
        <x:v>24</x:v>
      </x:c>
      <x:c r="K87" s="5" t="str">
        <x:v>apps/ccli/third_party/libiec61850/hal/tls/mbedtls3; adapters/iec61850_mms/mms_adapter.cpp; adapters/iec60870_104/iec104_tls.cpp; cmake/tls_allowlist_validation.cmake</x:v>
      </x:c>
      <x:c r="L87" s="5" t="str">
        <x:v>HiTEKS security + Tespro platform</x:v>
      </x:c>
      <x:c r="M87" s="5" t="str">
        <x:v>Existing implementation area; requirement acceptance open</x:v>
      </x:c>
      <x:c r="N87" s="5" t="str">
        <x:v>Not demonstrated</x:v>
      </x:c>
      <x:c r="O87" s="5" t="str">
        <x:v>Frozen-build algorithm/policy tests, key handling review and negative negotiation evidence. Verify: Fall back to full handshake for expired session IDs.</x:v>
      </x:c>
      <x:c r="P87" s="10" t="str"/>
      <x:c r="Q87" s="10" t="str">
        <x:v>Open</x:v>
      </x:c>
      <x:c r="R87" s="10" t="str"/>
      <x:c r="S87" s="10" t="str"/>
      <x:c r="T87" s="10" t="str"/>
      <x:c r="U87" s="5" t="str">
        <x:f>IF(Q87="Closed",IF(AND(R87&lt;&gt;"",S87&lt;&gt;""),"Closed recorded","Missing evidence/reviewer"),IF(Q87="N/A approved",IF(AND(T87&lt;&gt;"",S87&lt;&gt;""),"N/A recorded","Missing applicability approval"),"Open"))</x:f>
        <x:v>Open</x:v>
      </x:c>
      <x:c r="V87" s="5" t="str">
        <x:v>Normativa/EN IEC 62351-3-2023.pdf</x:v>
      </x:c>
      <x:c r="W87" s="5" t="str"/>
    </x:row>
    <x:row r="88" ht="36" customHeight="1">
      <x:c r="A88" s="5" t="str">
        <x:v>TLS-12-RES-02-03</x:v>
      </x:c>
      <x:c r="B88" s="5" t="str">
        <x:v>12-RES-02</x:v>
      </x:c>
      <x:c r="C88" s="5" t="str">
        <x:v>Resumption expiry</x:v>
      </x:c>
      <x:c r="D88" s="5" t="str">
        <x:v>Raise expired-session-ID/full-handshake notice</x:v>
      </x:c>
      <x:c r="E88" s="5" t="str">
        <x:v>Conditional mandatory</x:v>
      </x:c>
      <x:c r="F88" s="5" t="str">
        <x:v>Ended-session resumption</x:v>
      </x:c>
      <x:c r="G88" s="5" t="str"/>
      <x:c r="H88" s="5" t="str">
        <x:v>7.4.4</x:v>
      </x:c>
      <x:c r="I88" s="5" t="str">
        <x:v>32</x:v>
      </x:c>
      <x:c r="J88" s="5" t="str">
        <x:v>24</x:v>
      </x:c>
      <x:c r="K88" s="5" t="str">
        <x:v>apps/ccli/third_party/libiec61850/hal/tls/mbedtls3; adapters/iec61850_mms/mms_adapter.cpp; adapters/iec60870_104/iec104_tls.cpp; cmake/tls_allowlist_validation.cmake</x:v>
      </x:c>
      <x:c r="L88" s="5" t="str">
        <x:v>HiTEKS security + Tespro platform</x:v>
      </x:c>
      <x:c r="M88" s="5" t="str">
        <x:v>Existing implementation area; requirement acceptance open</x:v>
      </x:c>
      <x:c r="N88" s="5" t="str">
        <x:v>Not demonstrated</x:v>
      </x:c>
      <x:c r="O88" s="5" t="str">
        <x:v>Frozen-build algorithm/policy tests, key handling review and negative negotiation evidence. Verify: Raise expired-session-ID/full-handshake notice.</x:v>
      </x:c>
      <x:c r="P88" s="10" t="str"/>
      <x:c r="Q88" s="10" t="str">
        <x:v>Open</x:v>
      </x:c>
      <x:c r="R88" s="10" t="str"/>
      <x:c r="S88" s="10" t="str"/>
      <x:c r="T88" s="10" t="str"/>
      <x:c r="U88" s="5" t="str">
        <x:f>IF(Q88="Closed",IF(AND(R88&lt;&gt;"",S88&lt;&gt;""),"Closed recorded","Missing evidence/reviewer"),IF(Q88="N/A approved",IF(AND(T88&lt;&gt;"",S88&lt;&gt;""),"N/A recorded","Missing applicability approval"),"Open"))</x:f>
        <x:v>Open</x:v>
      </x:c>
      <x:c r="V88" s="5" t="str">
        <x:v>Normativa/EN IEC 62351-3-2023.pdf</x:v>
      </x:c>
      <x:c r="W88" s="5" t="str"/>
    </x:row>
    <x:row r="89" ht="36" customHeight="1">
      <x:c r="A89" s="5" t="str">
        <x:v>TLS-12-RES-03-01</x:v>
      </x:c>
      <x:c r="B89" s="5" t="str">
        <x:v>12-RES-03</x:v>
      </x:c>
      <x:c r="C89" s="5" t="str">
        <x:v>Ticket lifetime</x:v>
      </x:c>
      <x:c r="D89" s="5" t="str">
        <x:v>Limit issued tickets to maximum 24 hours</x:v>
      </x:c>
      <x:c r="E89" s="5" t="str">
        <x:v>Conditional mandatory</x:v>
      </x:c>
      <x:c r="F89" s="5" t="str">
        <x:v>RFC5077 tickets implemented</x:v>
      </x:c>
      <x:c r="G89" s="5" t="str"/>
      <x:c r="H89" s="5" t="str">
        <x:v>7.4.4</x:v>
      </x:c>
      <x:c r="I89" s="5" t="str">
        <x:v>33</x:v>
      </x:c>
      <x:c r="J89" s="5" t="str">
        <x:v>25</x:v>
      </x:c>
      <x:c r="K89" s="5" t="str">
        <x:v>apps/ccli/third_party/libiec61850/hal/tls/mbedtls3; adapters/iec61850_mms/mms_adapter.cpp; adapters/iec60870_104/iec104_tls.cpp; cmake/tls_allowlist_validation.cmake</x:v>
      </x:c>
      <x:c r="L89" s="5" t="str">
        <x:v>HiTEKS security + Tespro platform</x:v>
      </x:c>
      <x:c r="M89" s="5" t="str">
        <x:v>Existing implementation area; requirement acceptance open</x:v>
      </x:c>
      <x:c r="N89" s="5" t="str">
        <x:v>Not demonstrated</x:v>
      </x:c>
      <x:c r="O89" s="5" t="str">
        <x:v>Frozen-build algorithm/policy tests, key handling review and negative negotiation evidence. Verify: Limit issued tickets to maximum 24 hours.</x:v>
      </x:c>
      <x:c r="P89" s="10" t="str"/>
      <x:c r="Q89" s="10" t="str">
        <x:v>Open</x:v>
      </x:c>
      <x:c r="R89" s="10" t="str"/>
      <x:c r="S89" s="10" t="str"/>
      <x:c r="T89" s="10" t="str"/>
      <x:c r="U89" s="5" t="str">
        <x:f>IF(Q89="Closed",IF(AND(R89&lt;&gt;"",S89&lt;&gt;""),"Closed recorded","Missing evidence/reviewer"),IF(Q89="N/A approved",IF(AND(T89&lt;&gt;"",S89&lt;&gt;""),"N/A recorded","Missing applicability approval"),"Open"))</x:f>
        <x:v>Open</x:v>
      </x:c>
      <x:c r="V89" s="5" t="str">
        <x:v>Normativa/EN IEC 62351-3-2023.pdf</x:v>
      </x:c>
      <x:c r="W89" s="5" t="str"/>
    </x:row>
    <x:row r="90" ht="36" customHeight="1">
      <x:c r="A90" s="5" t="str">
        <x:v>TLS-12-RES-04-01</x:v>
      </x:c>
      <x:c r="B90" s="5" t="str">
        <x:v>12-RES-04</x:v>
      </x:c>
      <x:c r="C90" s="5" t="str">
        <x:v>Bound resumption</x:v>
      </x:c>
      <x:c r="D90" s="5" t="str">
        <x:v>Use secure-renegotiation extension for resumed handshake on same connection</x:v>
      </x:c>
      <x:c r="E90" s="5" t="str">
        <x:v>Conditional mandatory</x:v>
      </x:c>
      <x:c r="F90" s="5" t="str">
        <x:v>Resumption on same TLS connection</x:v>
      </x:c>
      <x:c r="G90" s="5" t="str"/>
      <x:c r="H90" s="5" t="str">
        <x:v>7.4.4;7.5.2</x:v>
      </x:c>
      <x:c r="I90" s="5" t="str">
        <x:v>33,35</x:v>
      </x:c>
      <x:c r="J90" s="5" t="str">
        <x:v>25,27</x:v>
      </x:c>
      <x:c r="K90" s="5" t="str">
        <x:v>apps/ccli/third_party/libiec61850/hal/tls/mbedtls3; adapters/iec61850_mms/mms_adapter.cpp; adapters/iec60870_104/iec104_tls.cpp; cmake/tls_allowlist_validation.cmake</x:v>
      </x:c>
      <x:c r="L90" s="5" t="str">
        <x:v>HiTEKS security + Tespro platform</x:v>
      </x:c>
      <x:c r="M90" s="5" t="str">
        <x:v>Existing implementation area; requirement acceptance open</x:v>
      </x:c>
      <x:c r="N90" s="5" t="str">
        <x:v>Not demonstrated</x:v>
      </x:c>
      <x:c r="O90" s="5" t="str">
        <x:v>Frozen-build algorithm/policy tests, key handling review and negative negotiation evidence. Verify: Use secure-renegotiation extension for resumed handshake on same connection.</x:v>
      </x:c>
      <x:c r="P90" s="10" t="str"/>
      <x:c r="Q90" s="10" t="str">
        <x:v>Open</x:v>
      </x:c>
      <x:c r="R90" s="10" t="str"/>
      <x:c r="S90" s="10" t="str"/>
      <x:c r="T90" s="10" t="str"/>
      <x:c r="U90" s="5" t="str">
        <x:f>IF(Q90="Closed",IF(AND(R90&lt;&gt;"",S90&lt;&gt;""),"Closed recorded","Missing evidence/reviewer"),IF(Q90="N/A approved",IF(AND(T90&lt;&gt;"",S90&lt;&gt;""),"N/A recorded","Missing applicability approval"),"Open"))</x:f>
        <x:v>Open</x:v>
      </x:c>
      <x:c r="V90" s="5" t="str">
        <x:v>Normativa/EN IEC 62351-3-2023.pdf</x:v>
      </x:c>
      <x:c r="W90" s="5" t="str"/>
    </x:row>
    <x:row r="91" ht="36" customHeight="1">
      <x:c r="A91" s="5" t="str">
        <x:v>TLS-12-RES-04-02</x:v>
      </x:c>
      <x:c r="B91" s="5" t="str">
        <x:v>12-RES-04</x:v>
      </x:c>
      <x:c r="C91" s="5" t="str">
        <x:v>Bound resumption</x:v>
      </x:c>
      <x:c r="D91" s="5" t="str">
        <x:v>Do not use connection-specific verify_data as transferable session-cache data</x:v>
      </x:c>
      <x:c r="E91" s="5" t="str">
        <x:v>Conditional mandatory</x:v>
      </x:c>
      <x:c r="F91" s="5" t="str">
        <x:v>Resumption on same TLS connection</x:v>
      </x:c>
      <x:c r="G91" s="5" t="str"/>
      <x:c r="H91" s="5" t="str">
        <x:v>7.4.4;7.5.2</x:v>
      </x:c>
      <x:c r="I91" s="5" t="str">
        <x:v>33,35</x:v>
      </x:c>
      <x:c r="J91" s="5" t="str">
        <x:v>25,27</x:v>
      </x:c>
      <x:c r="K91" s="5" t="str">
        <x:v>apps/ccli/third_party/libiec61850/hal/tls/mbedtls3; adapters/iec61850_mms/mms_adapter.cpp; adapters/iec60870_104/iec104_tls.cpp; cmake/tls_allowlist_validation.cmake</x:v>
      </x:c>
      <x:c r="L91" s="5" t="str">
        <x:v>HiTEKS security + Tespro platform</x:v>
      </x:c>
      <x:c r="M91" s="5" t="str">
        <x:v>Existing implementation area; requirement acceptance open</x:v>
      </x:c>
      <x:c r="N91" s="5" t="str">
        <x:v>Not demonstrated</x:v>
      </x:c>
      <x:c r="O91" s="5" t="str">
        <x:v>Frozen-build algorithm/policy tests, key handling review and negative negotiation evidence. Verify: Do not use connection-specific verify_data as transferable session-cache data.</x:v>
      </x:c>
      <x:c r="P91" s="10" t="str"/>
      <x:c r="Q91" s="10" t="str">
        <x:v>Open</x:v>
      </x:c>
      <x:c r="R91" s="10" t="str"/>
      <x:c r="S91" s="10" t="str"/>
      <x:c r="T91" s="10" t="str"/>
      <x:c r="U91" s="5" t="str">
        <x:f>IF(Q91="Closed",IF(AND(R91&lt;&gt;"",S91&lt;&gt;""),"Closed recorded","Missing evidence/reviewer"),IF(Q91="N/A approved",IF(AND(T91&lt;&gt;"",S91&lt;&gt;""),"N/A recorded","Missing applicability approval"),"Open"))</x:f>
        <x:v>Open</x:v>
      </x:c>
      <x:c r="V91" s="5" t="str">
        <x:v>Normativa/EN IEC 62351-3-2023.pdf</x:v>
      </x:c>
      <x:c r="W91" s="5" t="str"/>
    </x:row>
    <x:row r="92" ht="36" customHeight="1">
      <x:c r="A92" s="5" t="str">
        <x:v>TLS-12-REN-01-01</x:v>
      </x:c>
      <x:c r="B92" s="5" t="str">
        <x:v>12-REN-01</x:v>
      </x:c>
      <x:c r="C92" s="5" t="str">
        <x:v>Renegotiation policy</x:v>
      </x:c>
      <x:c r="D92" s="5" t="str">
        <x:v>Perform full handshake and certificate validation on renegotiation</x:v>
      </x:c>
      <x:c r="E92" s="5" t="str">
        <x:v>Mandatory</x:v>
      </x:c>
      <x:c r="F92" s="5" t="str">
        <x:v>TLS1.2</x:v>
      </x:c>
      <x:c r="G92" s="5" t="str"/>
      <x:c r="H92" s="5" t="str">
        <x:v>7.4.5</x:v>
      </x:c>
      <x:c r="I92" s="5" t="str">
        <x:v>33</x:v>
      </x:c>
      <x:c r="J92" s="5" t="str">
        <x:v>25</x:v>
      </x:c>
      <x:c r="K92" s="5" t="str">
        <x:v>apps/ccli/third_party/libiec61850/hal/tls/mbedtls3; adapters/iec61850_mms/mms_adapter.cpp; adapters/iec60870_104/iec104_tls.cpp; cmake/tls_allowlist_validation.cmake</x:v>
      </x:c>
      <x:c r="L92" s="5" t="str">
        <x:v>HiTEKS security + Tespro platform</x:v>
      </x:c>
      <x:c r="M92" s="5" t="str">
        <x:v>Gap: application timers not configured; backend auto-renegotiation disabled</x:v>
      </x:c>
      <x:c r="N92" s="5" t="str">
        <x:v>Gap: adapter interval-setting calls absent; pinned backend still needs verification</x:v>
      </x:c>
      <x:c r="O92" s="5" t="str">
        <x:v>Frozen-build algorithm/policy tests, key handling review and negative negotiation evidence. Verify: Perform full handshake and certificate validation on renegotiation.</x:v>
      </x:c>
      <x:c r="P92" s="10" t="str"/>
      <x:c r="Q92" s="10" t="str">
        <x:v>Open</x:v>
      </x:c>
      <x:c r="R92" s="10" t="str"/>
      <x:c r="S92" s="10" t="str"/>
      <x:c r="T92" s="10" t="str"/>
      <x:c r="U92" s="5" t="str">
        <x:f>IF(Q92="Closed",IF(AND(R92&lt;&gt;"",S92&lt;&gt;""),"Closed recorded","Missing evidence/reviewer"),IF(Q92="N/A approved",IF(AND(T92&lt;&gt;"",S92&lt;&gt;""),"N/A recorded","Missing applicability approval"),"Open"))</x:f>
        <x:v>Open</x:v>
      </x:c>
      <x:c r="V92" s="5" t="str">
        <x:v>Normativa/EN IEC 62351-3-2023.pdf</x:v>
      </x:c>
      <x:c r="W92" s="5" t="str"/>
    </x:row>
    <x:row r="93" ht="36" customHeight="1">
      <x:c r="A93" s="5" t="str">
        <x:v>TLS-12-REN-01-02</x:v>
      </x:c>
      <x:c r="B93" s="5" t="str">
        <x:v>12-REN-01</x:v>
      </x:c>
      <x:c r="C93" s="5" t="str">
        <x:v>Renegotiation policy</x:v>
      </x:c>
      <x:c r="D93" s="5" t="str">
        <x:v>Never use revoked/expired certificates</x:v>
      </x:c>
      <x:c r="E93" s="5" t="str">
        <x:v>Mandatory</x:v>
      </x:c>
      <x:c r="F93" s="5" t="str">
        <x:v>TLS1.2</x:v>
      </x:c>
      <x:c r="G93" s="5" t="str"/>
      <x:c r="H93" s="5" t="str">
        <x:v>7.4.5</x:v>
      </x:c>
      <x:c r="I93" s="5" t="str">
        <x:v>33</x:v>
      </x:c>
      <x:c r="J93" s="5" t="str">
        <x:v>25</x:v>
      </x:c>
      <x:c r="K93" s="5" t="str">
        <x:v>apps/ccli/third_party/libiec61850/hal/tls/mbedtls3; adapters/iec61850_mms/mms_adapter.cpp; adapters/iec60870_104/iec104_tls.cpp; cmake/tls_allowlist_validation.cmake</x:v>
      </x:c>
      <x:c r="L93" s="5" t="str">
        <x:v>HiTEKS security + Tespro platform</x:v>
      </x:c>
      <x:c r="M93" s="5" t="str">
        <x:v>Gap: application timers not configured; backend auto-renegotiation disabled</x:v>
      </x:c>
      <x:c r="N93" s="5" t="str">
        <x:v>Gap: adapter interval-setting calls absent; pinned backend still needs verification</x:v>
      </x:c>
      <x:c r="O93" s="5" t="str">
        <x:v>Frozen-build algorithm/policy tests, key handling review and negative negotiation evidence. Verify: Never use revoked/expired certificates.</x:v>
      </x:c>
      <x:c r="P93" s="10" t="str"/>
      <x:c r="Q93" s="10" t="str">
        <x:v>Open</x:v>
      </x:c>
      <x:c r="R93" s="10" t="str"/>
      <x:c r="S93" s="10" t="str"/>
      <x:c r="T93" s="10" t="str"/>
      <x:c r="U93" s="5" t="str">
        <x:f>IF(Q93="Closed",IF(AND(R93&lt;&gt;"",S93&lt;&gt;""),"Closed recorded","Missing evidence/reviewer"),IF(Q93="N/A approved",IF(AND(T93&lt;&gt;"",S93&lt;&gt;""),"N/A recorded","Missing applicability approval"),"Open"))</x:f>
        <x:v>Open</x:v>
      </x:c>
      <x:c r="V93" s="5" t="str">
        <x:v>Normativa/EN IEC 62351-3-2023.pdf</x:v>
      </x:c>
      <x:c r="W93" s="5" t="str"/>
    </x:row>
    <x:row r="94" ht="36" customHeight="1">
      <x:c r="A94" s="5" t="str">
        <x:v>TLS-12-REN-01-03</x:v>
      </x:c>
      <x:c r="B94" s="5" t="str">
        <x:v>12-REN-01</x:v>
      </x:c>
      <x:c r="C94" s="5" t="str">
        <x:v>Renegotiation policy</x:v>
      </x:c>
      <x:c r="D94" s="5" t="str">
        <x:v>Make intervals configurable</x:v>
      </x:c>
      <x:c r="E94" s="5" t="str">
        <x:v>Mandatory</x:v>
      </x:c>
      <x:c r="F94" s="5" t="str">
        <x:v>TLS1.2</x:v>
      </x:c>
      <x:c r="G94" s="5" t="str"/>
      <x:c r="H94" s="5" t="str">
        <x:v>7.4.5</x:v>
      </x:c>
      <x:c r="I94" s="5" t="str">
        <x:v>33</x:v>
      </x:c>
      <x:c r="J94" s="5" t="str">
        <x:v>25</x:v>
      </x:c>
      <x:c r="K94" s="5" t="str">
        <x:v>apps/ccli/third_party/libiec61850/hal/tls/mbedtls3; adapters/iec61850_mms/mms_adapter.cpp; adapters/iec60870_104/iec104_tls.cpp; cmake/tls_allowlist_validation.cmake</x:v>
      </x:c>
      <x:c r="L94" s="5" t="str">
        <x:v>HiTEKS security + Tespro platform</x:v>
      </x:c>
      <x:c r="M94" s="5" t="str">
        <x:v>Gap: application timers not configured; backend auto-renegotiation disabled</x:v>
      </x:c>
      <x:c r="N94" s="5" t="str">
        <x:v>Gap: adapter interval-setting calls absent; pinned backend still needs verification</x:v>
      </x:c>
      <x:c r="O94" s="5" t="str">
        <x:v>Frozen-build algorithm/policy tests, key handling review and negative negotiation evidence. Verify: Make intervals configurable.</x:v>
      </x:c>
      <x:c r="P94" s="10" t="str"/>
      <x:c r="Q94" s="10" t="str">
        <x:v>Open</x:v>
      </x:c>
      <x:c r="R94" s="10" t="str"/>
      <x:c r="S94" s="10" t="str"/>
      <x:c r="T94" s="10" t="str"/>
      <x:c r="U94" s="5" t="str">
        <x:f>IF(Q94="Closed",IF(AND(R94&lt;&gt;"",S94&lt;&gt;""),"Closed recorded","Missing evidence/reviewer"),IF(Q94="N/A approved",IF(AND(T94&lt;&gt;"",S94&lt;&gt;""),"N/A recorded","Missing applicability approval"),"Open"))</x:f>
        <x:v>Open</x:v>
      </x:c>
      <x:c r="V94" s="5" t="str">
        <x:v>Normativa/EN IEC 62351-3-2023.pdf</x:v>
      </x:c>
      <x:c r="W94" s="5" t="str"/>
    </x:row>
    <x:row r="95" ht="36" customHeight="1">
      <x:c r="A95" s="5" t="str">
        <x:v>TLS-12-REN-01-04</x:v>
      </x:c>
      <x:c r="B95" s="5" t="str">
        <x:v>12-REN-01</x:v>
      </x:c>
      <x:c r="C95" s="5" t="str">
        <x:v>Renegotiation policy</x:v>
      </x:c>
      <x:c r="D95" s="5" t="str">
        <x:v>Align with CRL refresh or OCSP cache policy</x:v>
      </x:c>
      <x:c r="E95" s="5" t="str">
        <x:v>Mandatory</x:v>
      </x:c>
      <x:c r="F95" s="5" t="str">
        <x:v>TLS1.2</x:v>
      </x:c>
      <x:c r="G95" s="5" t="str"/>
      <x:c r="H95" s="5" t="str">
        <x:v>7.4.5</x:v>
      </x:c>
      <x:c r="I95" s="5" t="str">
        <x:v>33</x:v>
      </x:c>
      <x:c r="J95" s="5" t="str">
        <x:v>25</x:v>
      </x:c>
      <x:c r="K95" s="5" t="str">
        <x:v>apps/ccli/third_party/libiec61850/hal/tls/mbedtls3; adapters/iec61850_mms/mms_adapter.cpp; adapters/iec60870_104/iec104_tls.cpp; cmake/tls_allowlist_validation.cmake</x:v>
      </x:c>
      <x:c r="L95" s="5" t="str">
        <x:v>HiTEKS security + Tespro platform</x:v>
      </x:c>
      <x:c r="M95" s="5" t="str">
        <x:v>Gap: application timers not configured; backend auto-renegotiation disabled</x:v>
      </x:c>
      <x:c r="N95" s="5" t="str">
        <x:v>Gap: adapter interval-setting calls absent; pinned backend still needs verification</x:v>
      </x:c>
      <x:c r="O95" s="5" t="str">
        <x:v>Frozen-build algorithm/policy tests, key handling review and negative negotiation evidence. Verify: Align with CRL refresh or OCSP cache policy.</x:v>
      </x:c>
      <x:c r="P95" s="10" t="str"/>
      <x:c r="Q95" s="10" t="str">
        <x:v>Open</x:v>
      </x:c>
      <x:c r="R95" s="10" t="str"/>
      <x:c r="S95" s="10" t="str"/>
      <x:c r="T95" s="10" t="str"/>
      <x:c r="U95" s="5" t="str">
        <x:f>IF(Q95="Closed",IF(AND(R95&lt;&gt;"",S95&lt;&gt;""),"Closed recorded","Missing evidence/reviewer"),IF(Q95="N/A approved",IF(AND(T95&lt;&gt;"",S95&lt;&gt;""),"N/A recorded","Missing applicability approval"),"Open"))</x:f>
        <x:v>Open</x:v>
      </x:c>
      <x:c r="V95" s="5" t="str">
        <x:v>Normativa/EN IEC 62351-3-2023.pdf</x:v>
      </x:c>
      <x:c r="W95" s="5" t="str"/>
    </x:row>
    <x:row r="96" ht="36" customHeight="1">
      <x:c r="A96" s="5" t="str">
        <x:v>TLS-12-REN-01-05</x:v>
      </x:c>
      <x:c r="B96" s="5" t="str">
        <x:v>12-REN-01</x:v>
      </x:c>
      <x:c r="C96" s="5" t="str">
        <x:v>Renegotiation policy</x:v>
      </x:c>
      <x:c r="D96" s="5" t="str">
        <x:v>Renegotiate long-lived connections within 24 hours</x:v>
      </x:c>
      <x:c r="E96" s="5" t="str">
        <x:v>Mandatory</x:v>
      </x:c>
      <x:c r="F96" s="5" t="str">
        <x:v>TLS1.2</x:v>
      </x:c>
      <x:c r="G96" s="5" t="str"/>
      <x:c r="H96" s="5" t="str">
        <x:v>7.4.5</x:v>
      </x:c>
      <x:c r="I96" s="5" t="str">
        <x:v>33</x:v>
      </x:c>
      <x:c r="J96" s="5" t="str">
        <x:v>25</x:v>
      </x:c>
      <x:c r="K96" s="5" t="str">
        <x:v>apps/ccli/third_party/libiec61850/hal/tls/mbedtls3; adapters/iec61850_mms/mms_adapter.cpp; adapters/iec60870_104/iec104_tls.cpp; cmake/tls_allowlist_validation.cmake</x:v>
      </x:c>
      <x:c r="L96" s="5" t="str">
        <x:v>HiTEKS security + Tespro platform</x:v>
      </x:c>
      <x:c r="M96" s="5" t="str">
        <x:v>Gap: application timers not configured; backend auto-renegotiation disabled</x:v>
      </x:c>
      <x:c r="N96" s="5" t="str">
        <x:v>Gap: adapter interval-setting calls absent; pinned backend still needs verification</x:v>
      </x:c>
      <x:c r="O96" s="5" t="str">
        <x:v>Frozen-build algorithm/policy tests, key handling review and negative negotiation evidence. Verify: Renegotiate long-lived connections within 24 hours.</x:v>
      </x:c>
      <x:c r="P96" s="10" t="str"/>
      <x:c r="Q96" s="10" t="str">
        <x:v>Open</x:v>
      </x:c>
      <x:c r="R96" s="10" t="str"/>
      <x:c r="S96" s="10" t="str"/>
      <x:c r="T96" s="10" t="str"/>
      <x:c r="U96" s="5" t="str">
        <x:f>IF(Q96="Closed",IF(AND(R96&lt;&gt;"",S96&lt;&gt;""),"Closed recorded","Missing evidence/reviewer"),IF(Q96="N/A approved",IF(AND(T96&lt;&gt;"",S96&lt;&gt;""),"N/A recorded","Missing applicability approval"),"Open"))</x:f>
        <x:v>Open</x:v>
      </x:c>
      <x:c r="V96" s="5" t="str">
        <x:v>Normativa/EN IEC 62351-3-2023.pdf</x:v>
      </x:c>
      <x:c r="W96" s="5" t="str"/>
    </x:row>
    <x:row r="97" ht="36" customHeight="1">
      <x:c r="A97" s="5" t="str">
        <x:v>TLS-12-REN-01-06</x:v>
      </x:c>
      <x:c r="B97" s="5" t="str">
        <x:v>12-REN-01</x:v>
      </x:c>
      <x:c r="C97" s="5" t="str">
        <x:v>Renegotiation policy</x:v>
      </x:c>
      <x:c r="D97" s="5" t="str">
        <x:v>Support minimum configurable interval of 10 minutes</x:v>
      </x:c>
      <x:c r="E97" s="5" t="str">
        <x:v>Mandatory</x:v>
      </x:c>
      <x:c r="F97" s="5" t="str">
        <x:v>TLS1.2</x:v>
      </x:c>
      <x:c r="G97" s="5" t="str"/>
      <x:c r="H97" s="5" t="str">
        <x:v>7.4.5</x:v>
      </x:c>
      <x:c r="I97" s="5" t="str">
        <x:v>33</x:v>
      </x:c>
      <x:c r="J97" s="5" t="str">
        <x:v>25</x:v>
      </x:c>
      <x:c r="K97" s="5" t="str">
        <x:v>apps/ccli/third_party/libiec61850/hal/tls/mbedtls3; adapters/iec61850_mms/mms_adapter.cpp; adapters/iec60870_104/iec104_tls.cpp; cmake/tls_allowlist_validation.cmake</x:v>
      </x:c>
      <x:c r="L97" s="5" t="str">
        <x:v>HiTEKS security + Tespro platform</x:v>
      </x:c>
      <x:c r="M97" s="5" t="str">
        <x:v>Gap: application timers not configured; backend auto-renegotiation disabled</x:v>
      </x:c>
      <x:c r="N97" s="5" t="str">
        <x:v>Gap: adapter interval-setting calls absent; pinned backend still needs verification</x:v>
      </x:c>
      <x:c r="O97" s="5" t="str">
        <x:v>Frozen-build algorithm/policy tests, key handling review and negative negotiation evidence. Verify: Support minimum configurable interval of 10 minutes.</x:v>
      </x:c>
      <x:c r="P97" s="10" t="str"/>
      <x:c r="Q97" s="10" t="str">
        <x:v>Open</x:v>
      </x:c>
      <x:c r="R97" s="10" t="str"/>
      <x:c r="S97" s="10" t="str"/>
      <x:c r="T97" s="10" t="str"/>
      <x:c r="U97" s="5" t="str">
        <x:f>IF(Q97="Closed",IF(AND(R97&lt;&gt;"",S97&lt;&gt;""),"Closed recorded","Missing evidence/reviewer"),IF(Q97="N/A approved",IF(AND(T97&lt;&gt;"",S97&lt;&gt;""),"N/A recorded","Missing applicability approval"),"Open"))</x:f>
        <x:v>Open</x:v>
      </x:c>
      <x:c r="V97" s="5" t="str">
        <x:v>Normativa/EN IEC 62351-3-2023.pdf</x:v>
      </x:c>
      <x:c r="W97" s="5" t="str"/>
    </x:row>
    <x:row r="98" ht="36" customHeight="1">
      <x:c r="A98" s="5" t="str">
        <x:v>TLS-12-REN-02-01</x:v>
      </x:c>
      <x:c r="B98" s="5" t="str">
        <x:v>12-REN-02</x:v>
      </x:c>
      <x:c r="C98" s="5" t="str">
        <x:v>Enforce renegotiation</x:v>
      </x:c>
      <x:c r="D98" s="5" t="str">
        <x:v>Client initiates if expected server request is missing</x:v>
      </x:c>
      <x:c r="E98" s="5" t="str">
        <x:v>Mandatory</x:v>
      </x:c>
      <x:c r="F98" s="5" t="str">
        <x:v>TLS1.2 client/server as applicable</x:v>
      </x:c>
      <x:c r="G98" s="5" t="str"/>
      <x:c r="H98" s="5" t="str">
        <x:v>7.4.5</x:v>
      </x:c>
      <x:c r="I98" s="5" t="str">
        <x:v>34</x:v>
      </x:c>
      <x:c r="J98" s="5" t="str">
        <x:v>26</x:v>
      </x:c>
      <x:c r="K98" s="5" t="str">
        <x:v>apps/ccli/third_party/libiec61850/hal/tls/mbedtls3; adapters/iec61850_mms/mms_adapter.cpp; adapters/iec60870_104/iec104_tls.cpp; cmake/tls_allowlist_validation.cmake</x:v>
      </x:c>
      <x:c r="L98" s="5" t="str">
        <x:v>HiTEKS security + Tespro platform</x:v>
      </x:c>
      <x:c r="M98" s="5" t="str">
        <x:v>Gap: application timers not configured; backend auto-renegotiation disabled</x:v>
      </x:c>
      <x:c r="N98" s="5" t="str">
        <x:v>Gap: adapter interval-setting calls absent; pinned backend still needs verification</x:v>
      </x:c>
      <x:c r="O98" s="5" t="str">
        <x:v>Frozen-build algorithm/policy tests, key handling review and negative negotiation evidence. Verify: Client initiates if expected server request is missing.</x:v>
      </x:c>
      <x:c r="P98" s="10" t="str"/>
      <x:c r="Q98" s="10" t="str">
        <x:v>Open</x:v>
      </x:c>
      <x:c r="R98" s="10" t="str"/>
      <x:c r="S98" s="10" t="str"/>
      <x:c r="T98" s="10" t="str"/>
      <x:c r="U98" s="5" t="str">
        <x:f>IF(Q98="Closed",IF(AND(R98&lt;&gt;"",S98&lt;&gt;""),"Closed recorded","Missing evidence/reviewer"),IF(Q98="N/A approved",IF(AND(T98&lt;&gt;"",S98&lt;&gt;""),"N/A recorded","Missing applicability approval"),"Open"))</x:f>
        <x:v>Open</x:v>
      </x:c>
      <x:c r="V98" s="5" t="str">
        <x:v>Normativa/EN IEC 62351-3-2023.pdf</x:v>
      </x:c>
      <x:c r="W98" s="5" t="str"/>
    </x:row>
    <x:row r="99" ht="36" customHeight="1">
      <x:c r="A99" s="5" t="str">
        <x:v>TLS-12-REN-02-02</x:v>
      </x:c>
      <x:c r="B99" s="5" t="str">
        <x:v>12-REN-02</x:v>
      </x:c>
      <x:c r="C99" s="5" t="str">
        <x:v>Enforce renegotiation</x:v>
      </x:c>
      <x:c r="D99" s="5" t="str">
        <x:v>Server terminates if client does not respond to HelloRequest with renegotiation</x:v>
      </x:c>
      <x:c r="E99" s="5" t="str">
        <x:v>Mandatory</x:v>
      </x:c>
      <x:c r="F99" s="5" t="str">
        <x:v>TLS1.2 client/server as applicable</x:v>
      </x:c>
      <x:c r="G99" s="5" t="str"/>
      <x:c r="H99" s="5" t="str">
        <x:v>7.4.5</x:v>
      </x:c>
      <x:c r="I99" s="5" t="str">
        <x:v>34</x:v>
      </x:c>
      <x:c r="J99" s="5" t="str">
        <x:v>26</x:v>
      </x:c>
      <x:c r="K99" s="5" t="str">
        <x:v>apps/ccli/third_party/libiec61850/hal/tls/mbedtls3; adapters/iec61850_mms/mms_adapter.cpp; adapters/iec60870_104/iec104_tls.cpp; cmake/tls_allowlist_validation.cmake</x:v>
      </x:c>
      <x:c r="L99" s="5" t="str">
        <x:v>HiTEKS security + Tespro platform</x:v>
      </x:c>
      <x:c r="M99" s="5" t="str">
        <x:v>Gap: application timers not configured; backend auto-renegotiation disabled</x:v>
      </x:c>
      <x:c r="N99" s="5" t="str">
        <x:v>Gap: adapter interval-setting calls absent; pinned backend still needs verification</x:v>
      </x:c>
      <x:c r="O99" s="5" t="str">
        <x:v>Frozen-build algorithm/policy tests, key handling review and negative negotiation evidence. Verify: Server terminates if client does not respond to HelloRequest with renegotiation.</x:v>
      </x:c>
      <x:c r="P99" s="10" t="str"/>
      <x:c r="Q99" s="10" t="str">
        <x:v>Open</x:v>
      </x:c>
      <x:c r="R99" s="10" t="str"/>
      <x:c r="S99" s="10" t="str"/>
      <x:c r="T99" s="10" t="str"/>
      <x:c r="U99" s="5" t="str">
        <x:f>IF(Q99="Closed",IF(AND(R99&lt;&gt;"",S99&lt;&gt;""),"Closed recorded","Missing evidence/reviewer"),IF(Q99="N/A approved",IF(AND(T99&lt;&gt;"",S99&lt;&gt;""),"N/A recorded","Missing applicability approval"),"Open"))</x:f>
        <x:v>Open</x:v>
      </x:c>
      <x:c r="V99" s="5" t="str">
        <x:v>Normativa/EN IEC 62351-3-2023.pdf</x:v>
      </x:c>
      <x:c r="W99" s="5" t="str"/>
    </x:row>
    <x:row r="100" ht="36" customHeight="1">
      <x:c r="A100" s="5" t="str">
        <x:v>TLS-12-REN-02-03</x:v>
      </x:c>
      <x:c r="B100" s="5" t="str">
        <x:v>12-REN-02</x:v>
      </x:c>
      <x:c r="C100" s="5" t="str">
        <x:v>Enforce renegotiation</x:v>
      </x:c>
      <x:c r="D100" s="5" t="str">
        <x:v>Support processing HelloRequest</x:v>
      </x:c>
      <x:c r="E100" s="5" t="str">
        <x:v>Mandatory</x:v>
      </x:c>
      <x:c r="F100" s="5" t="str">
        <x:v>TLS1.2 client/server as applicable</x:v>
      </x:c>
      <x:c r="G100" s="5" t="str"/>
      <x:c r="H100" s="5" t="str">
        <x:v>7.4.5</x:v>
      </x:c>
      <x:c r="I100" s="5" t="str">
        <x:v>34</x:v>
      </x:c>
      <x:c r="J100" s="5" t="str">
        <x:v>26</x:v>
      </x:c>
      <x:c r="K100" s="5" t="str">
        <x:v>apps/ccli/third_party/libiec61850/hal/tls/mbedtls3; adapters/iec61850_mms/mms_adapter.cpp; adapters/iec60870_104/iec104_tls.cpp; cmake/tls_allowlist_validation.cmake</x:v>
      </x:c>
      <x:c r="L100" s="5" t="str">
        <x:v>HiTEKS security + Tespro platform</x:v>
      </x:c>
      <x:c r="M100" s="5" t="str">
        <x:v>Gap: application timers not configured; backend auto-renegotiation disabled</x:v>
      </x:c>
      <x:c r="N100" s="5" t="str">
        <x:v>Gap: adapter interval-setting calls absent; pinned backend still needs verification</x:v>
      </x:c>
      <x:c r="O100" s="5" t="str">
        <x:v>Frozen-build algorithm/policy tests, key handling review and negative negotiation evidence. Verify: Support processing HelloRequest.</x:v>
      </x:c>
      <x:c r="P100" s="10" t="str"/>
      <x:c r="Q100" s="10" t="str">
        <x:v>Open</x:v>
      </x:c>
      <x:c r="R100" s="10" t="str"/>
      <x:c r="S100" s="10" t="str"/>
      <x:c r="T100" s="10" t="str"/>
      <x:c r="U100" s="5" t="str">
        <x:f>IF(Q100="Closed",IF(AND(R100&lt;&gt;"",S100&lt;&gt;""),"Closed recorded","Missing evidence/reviewer"),IF(Q100="N/A approved",IF(AND(T100&lt;&gt;"",S100&lt;&gt;""),"N/A recorded","Missing applicability approval"),"Open"))</x:f>
        <x:v>Open</x:v>
      </x:c>
      <x:c r="V100" s="5" t="str">
        <x:v>Normativa/EN IEC 62351-3-2023.pdf</x:v>
      </x:c>
      <x:c r="W100" s="5" t="str"/>
    </x:row>
    <x:row r="101" ht="36" customHeight="1">
      <x:c r="A101" s="5" t="str">
        <x:v>TLS-12-REN-02-04</x:v>
      </x:c>
      <x:c r="B101" s="5" t="str">
        <x:v>12-REN-02</x:v>
      </x:c>
      <x:c r="C101" s="5" t="str">
        <x:v>Enforce renegotiation</x:v>
      </x:c>
      <x:c r="D101" s="5" t="str">
        <x:v>Follow TLS1.2 failure handling</x:v>
      </x:c>
      <x:c r="E101" s="5" t="str">
        <x:v>Mandatory</x:v>
      </x:c>
      <x:c r="F101" s="5" t="str">
        <x:v>TLS1.2 client/server as applicable</x:v>
      </x:c>
      <x:c r="G101" s="5" t="str"/>
      <x:c r="H101" s="5" t="str">
        <x:v>7.4.5</x:v>
      </x:c>
      <x:c r="I101" s="5" t="str">
        <x:v>34</x:v>
      </x:c>
      <x:c r="J101" s="5" t="str">
        <x:v>26</x:v>
      </x:c>
      <x:c r="K101" s="5" t="str">
        <x:v>apps/ccli/third_party/libiec61850/hal/tls/mbedtls3; adapters/iec61850_mms/mms_adapter.cpp; adapters/iec60870_104/iec104_tls.cpp; cmake/tls_allowlist_validation.cmake</x:v>
      </x:c>
      <x:c r="L101" s="5" t="str">
        <x:v>HiTEKS security + Tespro platform</x:v>
      </x:c>
      <x:c r="M101" s="5" t="str">
        <x:v>Gap: application timers not configured; backend auto-renegotiation disabled</x:v>
      </x:c>
      <x:c r="N101" s="5" t="str">
        <x:v>Gap: adapter interval-setting calls absent; pinned backend still needs verification</x:v>
      </x:c>
      <x:c r="O101" s="5" t="str">
        <x:v>Frozen-build algorithm/policy tests, key handling review and negative negotiation evidence. Verify: Follow TLS1.2 failure handling.</x:v>
      </x:c>
      <x:c r="P101" s="10" t="str"/>
      <x:c r="Q101" s="10" t="str">
        <x:v>Open</x:v>
      </x:c>
      <x:c r="R101" s="10" t="str"/>
      <x:c r="S101" s="10" t="str"/>
      <x:c r="T101" s="10" t="str"/>
      <x:c r="U101" s="5" t="str">
        <x:f>IF(Q101="Closed",IF(AND(R101&lt;&gt;"",S101&lt;&gt;""),"Closed recorded","Missing evidence/reviewer"),IF(Q101="N/A approved",IF(AND(T101&lt;&gt;"",S101&lt;&gt;""),"N/A recorded","Missing applicability approval"),"Open"))</x:f>
        <x:v>Open</x:v>
      </x:c>
      <x:c r="V101" s="5" t="str">
        <x:v>Normativa/EN IEC 62351-3-2023.pdf</x:v>
      </x:c>
      <x:c r="W101" s="5" t="str"/>
    </x:row>
    <x:row r="102" ht="36" customHeight="1">
      <x:c r="A102" s="5" t="str">
        <x:v>TLS-12-REN-02-05</x:v>
      </x:c>
      <x:c r="B102" s="5" t="str">
        <x:v>12-REN-02</x:v>
      </x:c>
      <x:c r="C102" s="5" t="str">
        <x:v>Enforce renegotiation</x:v>
      </x:c>
      <x:c r="D102" s="5" t="str">
        <x:v>Use RFC5746 secure renegotiation</x:v>
      </x:c>
      <x:c r="E102" s="5" t="str">
        <x:v>Mandatory</x:v>
      </x:c>
      <x:c r="F102" s="5" t="str">
        <x:v>TLS1.2 client/server as applicable</x:v>
      </x:c>
      <x:c r="G102" s="5" t="str"/>
      <x:c r="H102" s="5" t="str">
        <x:v>7.4.5</x:v>
      </x:c>
      <x:c r="I102" s="5" t="str">
        <x:v>34</x:v>
      </x:c>
      <x:c r="J102" s="5" t="str">
        <x:v>26</x:v>
      </x:c>
      <x:c r="K102" s="5" t="str">
        <x:v>apps/ccli/third_party/libiec61850/hal/tls/mbedtls3; adapters/iec61850_mms/mms_adapter.cpp; adapters/iec60870_104/iec104_tls.cpp; cmake/tls_allowlist_validation.cmake</x:v>
      </x:c>
      <x:c r="L102" s="5" t="str">
        <x:v>HiTEKS security + Tespro platform</x:v>
      </x:c>
      <x:c r="M102" s="5" t="str">
        <x:v>Gap: application timers not configured; backend auto-renegotiation disabled</x:v>
      </x:c>
      <x:c r="N102" s="5" t="str">
        <x:v>Gap: adapter interval-setting calls absent; pinned backend still needs verification</x:v>
      </x:c>
      <x:c r="O102" s="5" t="str">
        <x:v>Frozen-build algorithm/policy tests, key handling review and negative negotiation evidence. Verify: Use RFC5746 secure renegotiation.</x:v>
      </x:c>
      <x:c r="P102" s="10" t="str"/>
      <x:c r="Q102" s="10" t="str">
        <x:v>Open</x:v>
      </x:c>
      <x:c r="R102" s="10" t="str"/>
      <x:c r="S102" s="10" t="str"/>
      <x:c r="T102" s="10" t="str"/>
      <x:c r="U102" s="5" t="str">
        <x:f>IF(Q102="Closed",IF(AND(R102&lt;&gt;"",S102&lt;&gt;""),"Closed recorded","Missing evidence/reviewer"),IF(Q102="N/A approved",IF(AND(T102&lt;&gt;"",S102&lt;&gt;""),"N/A recorded","Missing applicability approval"),"Open"))</x:f>
        <x:v>Open</x:v>
      </x:c>
      <x:c r="V102" s="5" t="str">
        <x:v>Normativa/EN IEC 62351-3-2023.pdf</x:v>
      </x:c>
      <x:c r="W102" s="5" t="str"/>
    </x:row>
    <x:row r="103" ht="36" customHeight="1">
      <x:c r="A103" s="5" t="str">
        <x:v>TLS-12-EXT-01-01</x:v>
      </x:c>
      <x:c r="B103" s="5" t="str">
        <x:v>12-EXT-01</x:v>
      </x:c>
      <x:c r="C103" s="5" t="str">
        <x:v>Secure renegotiation extension</x:v>
      </x:c>
      <x:c r="D103" s="5" t="str">
        <x:v>Support renegotiation_info per RFC5746</x:v>
      </x:c>
      <x:c r="E103" s="5" t="str">
        <x:v>Mandatory</x:v>
      </x:c>
      <x:c r="F103" s="5" t="str">
        <x:v>TLS1.2</x:v>
      </x:c>
      <x:c r="G103" s="5" t="str"/>
      <x:c r="H103" s="5" t="str">
        <x:v>7.5.2</x:v>
      </x:c>
      <x:c r="I103" s="5" t="str">
        <x:v>34-35</x:v>
      </x:c>
      <x:c r="J103" s="5" t="str">
        <x:v>26,27</x:v>
      </x:c>
      <x:c r="K103" s="5" t="str">
        <x:v>apps/ccli/third_party/libiec61850/hal/tls/mbedtls3; adapters/iec61850_mms/mms_adapter.cpp; adapters/iec60870_104/iec104_tls.cpp; cmake/tls_allowlist_validation.cmake</x:v>
      </x:c>
      <x:c r="L103" s="5" t="str">
        <x:v>HiTEKS security + Tespro platform</x:v>
      </x:c>
      <x:c r="M103" s="5" t="str">
        <x:v>Existing implementation area; requirement acceptance open</x:v>
      </x:c>
      <x:c r="N103" s="5" t="str">
        <x:v>Not demonstrated</x:v>
      </x:c>
      <x:c r="O103" s="5" t="str">
        <x:v>Frozen-build algorithm/policy tests, key handling review and negative negotiation evidence. Verify: Support renegotiation_info per RFC5746.</x:v>
      </x:c>
      <x:c r="P103" s="10" t="str"/>
      <x:c r="Q103" s="10" t="str">
        <x:v>Open</x:v>
      </x:c>
      <x:c r="R103" s="10" t="str"/>
      <x:c r="S103" s="10" t="str"/>
      <x:c r="T103" s="10" t="str"/>
      <x:c r="U103" s="5" t="str">
        <x:f>IF(Q103="Closed",IF(AND(R103&lt;&gt;"",S103&lt;&gt;""),"Closed recorded","Missing evidence/reviewer"),IF(Q103="N/A approved",IF(AND(T103&lt;&gt;"",S103&lt;&gt;""),"N/A recorded","Missing applicability approval"),"Open"))</x:f>
        <x:v>Open</x:v>
      </x:c>
      <x:c r="V103" s="5" t="str">
        <x:v>Normativa/EN IEC 62351-3-2023.pdf</x:v>
      </x:c>
      <x:c r="W103" s="5" t="str"/>
    </x:row>
    <x:row r="104" ht="36" customHeight="1">
      <x:c r="A104" s="5" t="str">
        <x:v>TLS-12-EXT-01-02</x:v>
      </x:c>
      <x:c r="B104" s="5" t="str">
        <x:v>12-EXT-01</x:v>
      </x:c>
      <x:c r="C104" s="5" t="str">
        <x:v>Secure renegotiation extension</x:v>
      </x:c>
      <x:c r="D104" s="5" t="str">
        <x:v>Signal initial support using empty extension</x:v>
      </x:c>
      <x:c r="E104" s="5" t="str">
        <x:v>Mandatory</x:v>
      </x:c>
      <x:c r="F104" s="5" t="str">
        <x:v>TLS1.2</x:v>
      </x:c>
      <x:c r="G104" s="5" t="str"/>
      <x:c r="H104" s="5" t="str">
        <x:v>7.5.2</x:v>
      </x:c>
      <x:c r="I104" s="5" t="str">
        <x:v>34-35</x:v>
      </x:c>
      <x:c r="J104" s="5" t="str">
        <x:v>26,27</x:v>
      </x:c>
      <x:c r="K104" s="5" t="str">
        <x:v>apps/ccli/third_party/libiec61850/hal/tls/mbedtls3; adapters/iec61850_mms/mms_adapter.cpp; adapters/iec60870_104/iec104_tls.cpp; cmake/tls_allowlist_validation.cmake</x:v>
      </x:c>
      <x:c r="L104" s="5" t="str">
        <x:v>HiTEKS security + Tespro platform</x:v>
      </x:c>
      <x:c r="M104" s="5" t="str">
        <x:v>Existing implementation area; requirement acceptance open</x:v>
      </x:c>
      <x:c r="N104" s="5" t="str">
        <x:v>Not demonstrated</x:v>
      </x:c>
      <x:c r="O104" s="5" t="str">
        <x:v>Frozen-build algorithm/policy tests, key handling review and negative negotiation evidence. Verify: Signal initial support using empty extension.</x:v>
      </x:c>
      <x:c r="P104" s="10" t="str"/>
      <x:c r="Q104" s="10" t="str">
        <x:v>Open</x:v>
      </x:c>
      <x:c r="R104" s="10" t="str"/>
      <x:c r="S104" s="10" t="str"/>
      <x:c r="T104" s="10" t="str"/>
      <x:c r="U104" s="5" t="str">
        <x:f>IF(Q104="Closed",IF(AND(R104&lt;&gt;"",S104&lt;&gt;""),"Closed recorded","Missing evidence/reviewer"),IF(Q104="N/A approved",IF(AND(T104&lt;&gt;"",S104&lt;&gt;""),"N/A recorded","Missing applicability approval"),"Open"))</x:f>
        <x:v>Open</x:v>
      </x:c>
      <x:c r="V104" s="5" t="str">
        <x:v>Normativa/EN IEC 62351-3-2023.pdf</x:v>
      </x:c>
      <x:c r="W104" s="5" t="str"/>
    </x:row>
    <x:row r="105" ht="36" customHeight="1">
      <x:c r="A105" s="5" t="str">
        <x:v>TLS-12-EXT-01-03</x:v>
      </x:c>
      <x:c r="B105" s="5" t="str">
        <x:v>12-EXT-01</x:v>
      </x:c>
      <x:c r="C105" s="5" t="str">
        <x:v>Secure renegotiation extension</x:v>
      </x:c>
      <x:c r="D105" s="5" t="str">
        <x:v>Warn when initial-handshake peer lacks extension</x:v>
      </x:c>
      <x:c r="E105" s="5" t="str">
        <x:v>Mandatory</x:v>
      </x:c>
      <x:c r="F105" s="5" t="str">
        <x:v>TLS1.2</x:v>
      </x:c>
      <x:c r="G105" s="5" t="str"/>
      <x:c r="H105" s="5" t="str">
        <x:v>7.5.2</x:v>
      </x:c>
      <x:c r="I105" s="5" t="str">
        <x:v>34-35</x:v>
      </x:c>
      <x:c r="J105" s="5" t="str">
        <x:v>26,27</x:v>
      </x:c>
      <x:c r="K105" s="5" t="str">
        <x:v>apps/ccli/third_party/libiec61850/hal/tls/mbedtls3; adapters/iec61850_mms/mms_adapter.cpp; adapters/iec60870_104/iec104_tls.cpp; cmake/tls_allowlist_validation.cmake</x:v>
      </x:c>
      <x:c r="L105" s="5" t="str">
        <x:v>HiTEKS security + Tespro platform</x:v>
      </x:c>
      <x:c r="M105" s="5" t="str">
        <x:v>Existing implementation area; requirement acceptance open</x:v>
      </x:c>
      <x:c r="N105" s="5" t="str">
        <x:v>Not demonstrated</x:v>
      </x:c>
      <x:c r="O105" s="5" t="str">
        <x:v>Frozen-build algorithm/policy tests, key handling review and negative negotiation evidence. Verify: Warn when initial-handshake peer lacks extension.</x:v>
      </x:c>
      <x:c r="P105" s="10" t="str"/>
      <x:c r="Q105" s="10" t="str">
        <x:v>Open</x:v>
      </x:c>
      <x:c r="R105" s="10" t="str"/>
      <x:c r="S105" s="10" t="str"/>
      <x:c r="T105" s="10" t="str"/>
      <x:c r="U105" s="5" t="str">
        <x:f>IF(Q105="Closed",IF(AND(R105&lt;&gt;"",S105&lt;&gt;""),"Closed recorded","Missing evidence/reviewer"),IF(Q105="N/A approved",IF(AND(T105&lt;&gt;"",S105&lt;&gt;""),"N/A recorded","Missing applicability approval"),"Open"))</x:f>
        <x:v>Open</x:v>
      </x:c>
      <x:c r="V105" s="5" t="str">
        <x:v>Normativa/EN IEC 62351-3-2023.pdf</x:v>
      </x:c>
      <x:c r="W105" s="5" t="str"/>
    </x:row>
    <x:row r="106" ht="36" customHeight="1">
      <x:c r="A106" s="5" t="str">
        <x:v>TLS-12-EXT-01-04</x:v>
      </x:c>
      <x:c r="B106" s="5" t="str">
        <x:v>12-EXT-01</x:v>
      </x:c>
      <x:c r="C106" s="5" t="str">
        <x:v>Secure renegotiation extension</x:v>
      </x:c>
      <x:c r="D106" s="5" t="str">
        <x:v>Never renegotiate insecurely without extension</x:v>
      </x:c>
      <x:c r="E106" s="5" t="str">
        <x:v>Mandatory</x:v>
      </x:c>
      <x:c r="F106" s="5" t="str">
        <x:v>TLS1.2</x:v>
      </x:c>
      <x:c r="G106" s="5" t="str"/>
      <x:c r="H106" s="5" t="str">
        <x:v>7.5.2</x:v>
      </x:c>
      <x:c r="I106" s="5" t="str">
        <x:v>34-35</x:v>
      </x:c>
      <x:c r="J106" s="5" t="str">
        <x:v>26,27</x:v>
      </x:c>
      <x:c r="K106" s="5" t="str">
        <x:v>apps/ccli/third_party/libiec61850/hal/tls/mbedtls3; adapters/iec61850_mms/mms_adapter.cpp; adapters/iec60870_104/iec104_tls.cpp; cmake/tls_allowlist_validation.cmake</x:v>
      </x:c>
      <x:c r="L106" s="5" t="str">
        <x:v>HiTEKS security + Tespro platform</x:v>
      </x:c>
      <x:c r="M106" s="5" t="str">
        <x:v>Existing implementation area; requirement acceptance open</x:v>
      </x:c>
      <x:c r="N106" s="5" t="str">
        <x:v>Not demonstrated</x:v>
      </x:c>
      <x:c r="O106" s="5" t="str">
        <x:v>Frozen-build algorithm/policy tests, key handling review and negative negotiation evidence. Verify: Never renegotiate insecurely without extension.</x:v>
      </x:c>
      <x:c r="P106" s="10" t="str"/>
      <x:c r="Q106" s="10" t="str">
        <x:v>Open</x:v>
      </x:c>
      <x:c r="R106" s="10" t="str"/>
      <x:c r="S106" s="10" t="str"/>
      <x:c r="T106" s="10" t="str"/>
      <x:c r="U106" s="5" t="str">
        <x:f>IF(Q106="Closed",IF(AND(R106&lt;&gt;"",S106&lt;&gt;""),"Closed recorded","Missing evidence/reviewer"),IF(Q106="N/A approved",IF(AND(T106&lt;&gt;"",S106&lt;&gt;""),"N/A recorded","Missing applicability approval"),"Open"))</x:f>
        <x:v>Open</x:v>
      </x:c>
      <x:c r="V106" s="5" t="str">
        <x:v>Normativa/EN IEC 62351-3-2023.pdf</x:v>
      </x:c>
      <x:c r="W106" s="5" t="str"/>
    </x:row>
    <x:row r="107" ht="36" customHeight="1">
      <x:c r="A107" s="5" t="str">
        <x:v>TLS-12-EXT-01-05</x:v>
      </x:c>
      <x:c r="B107" s="5" t="str">
        <x:v>12-EXT-01</x:v>
      </x:c>
      <x:c r="C107" s="5" t="str">
        <x:v>Secure renegotiation extension</x:v>
      </x:c>
      <x:c r="D107" s="5" t="str">
        <x:v>Bind renegotiated handshake using client/server verify_data</x:v>
      </x:c>
      <x:c r="E107" s="5" t="str">
        <x:v>Mandatory</x:v>
      </x:c>
      <x:c r="F107" s="5" t="str">
        <x:v>TLS1.2</x:v>
      </x:c>
      <x:c r="G107" s="5" t="str"/>
      <x:c r="H107" s="5" t="str">
        <x:v>7.5.2</x:v>
      </x:c>
      <x:c r="I107" s="5" t="str">
        <x:v>34-35</x:v>
      </x:c>
      <x:c r="J107" s="5" t="str">
        <x:v>26,27</x:v>
      </x:c>
      <x:c r="K107" s="5" t="str">
        <x:v>apps/ccli/third_party/libiec61850/hal/tls/mbedtls3; adapters/iec61850_mms/mms_adapter.cpp; adapters/iec60870_104/iec104_tls.cpp; cmake/tls_allowlist_validation.cmake</x:v>
      </x:c>
      <x:c r="L107" s="5" t="str">
        <x:v>HiTEKS security + Tespro platform</x:v>
      </x:c>
      <x:c r="M107" s="5" t="str">
        <x:v>Existing implementation area; requirement acceptance open</x:v>
      </x:c>
      <x:c r="N107" s="5" t="str">
        <x:v>Not demonstrated</x:v>
      </x:c>
      <x:c r="O107" s="5" t="str">
        <x:v>Frozen-build algorithm/policy tests, key handling review and negative negotiation evidence. Verify: Bind renegotiated handshake using client/server verify_data.</x:v>
      </x:c>
      <x:c r="P107" s="10" t="str"/>
      <x:c r="Q107" s="10" t="str">
        <x:v>Open</x:v>
      </x:c>
      <x:c r="R107" s="10" t="str"/>
      <x:c r="S107" s="10" t="str"/>
      <x:c r="T107" s="10" t="str"/>
      <x:c r="U107" s="5" t="str">
        <x:f>IF(Q107="Closed",IF(AND(R107&lt;&gt;"",S107&lt;&gt;""),"Closed recorded","Missing evidence/reviewer"),IF(Q107="N/A approved",IF(AND(T107&lt;&gt;"",S107&lt;&gt;""),"N/A recorded","Missing applicability approval"),"Open"))</x:f>
        <x:v>Open</x:v>
      </x:c>
      <x:c r="V107" s="5" t="str">
        <x:v>Normativa/EN IEC 62351-3-2023.pdf</x:v>
      </x:c>
      <x:c r="W107" s="5" t="str"/>
    </x:row>
    <x:row r="108" ht="36" customHeight="1">
      <x:c r="A108" s="5" t="str">
        <x:v>TLS-12-EXT-01-06</x:v>
      </x:c>
      <x:c r="B108" s="5" t="str">
        <x:v>12-EXT-01</x:v>
      </x:c>
      <x:c r="C108" s="5" t="str">
        <x:v>Secure renegotiation extension</x:v>
      </x:c>
      <x:c r="D108" s="5" t="str">
        <x:v>Alarm and abort if renegotiation extension/components previously supported are absent</x:v>
      </x:c>
      <x:c r="E108" s="5" t="str">
        <x:v>Mandatory</x:v>
      </x:c>
      <x:c r="F108" s="5" t="str">
        <x:v>TLS1.2</x:v>
      </x:c>
      <x:c r="G108" s="5" t="str"/>
      <x:c r="H108" s="5" t="str">
        <x:v>7.5.2</x:v>
      </x:c>
      <x:c r="I108" s="5" t="str">
        <x:v>34-35</x:v>
      </x:c>
      <x:c r="J108" s="5" t="str">
        <x:v>26,27</x:v>
      </x:c>
      <x:c r="K108" s="5" t="str">
        <x:v>apps/ccli/third_party/libiec61850/hal/tls/mbedtls3; adapters/iec61850_mms/mms_adapter.cpp; adapters/iec60870_104/iec104_tls.cpp; cmake/tls_allowlist_validation.cmake</x:v>
      </x:c>
      <x:c r="L108" s="5" t="str">
        <x:v>HiTEKS security + Tespro platform</x:v>
      </x:c>
      <x:c r="M108" s="5" t="str">
        <x:v>Existing implementation area; requirement acceptance open</x:v>
      </x:c>
      <x:c r="N108" s="5" t="str">
        <x:v>Not demonstrated</x:v>
      </x:c>
      <x:c r="O108" s="5" t="str">
        <x:v>Frozen-build algorithm/policy tests, key handling review and negative negotiation evidence. Verify: Alarm and abort if renegotiation extension/components previously supported are absent.</x:v>
      </x:c>
      <x:c r="P108" s="10" t="str"/>
      <x:c r="Q108" s="10" t="str">
        <x:v>Open</x:v>
      </x:c>
      <x:c r="R108" s="10" t="str"/>
      <x:c r="S108" s="10" t="str"/>
      <x:c r="T108" s="10" t="str"/>
      <x:c r="U108" s="5" t="str">
        <x:f>IF(Q108="Closed",IF(AND(R108&lt;&gt;"",S108&lt;&gt;""),"Closed recorded","Missing evidence/reviewer"),IF(Q108="N/A approved",IF(AND(T108&lt;&gt;"",S108&lt;&gt;""),"N/A recorded","Missing applicability approval"),"Open"))</x:f>
        <x:v>Open</x:v>
      </x:c>
      <x:c r="V108" s="5" t="str">
        <x:v>Normativa/EN IEC 62351-3-2023.pdf</x:v>
      </x:c>
      <x:c r="W108" s="5" t="str"/>
    </x:row>
    <x:row r="109" ht="36" customHeight="1">
      <x:c r="A109" s="5" t="str">
        <x:v>TLS-12-EXT-02-01</x:v>
      </x:c>
      <x:c r="B109" s="5" t="str">
        <x:v>12-EXT-02</x:v>
      </x:c>
      <x:c r="C109" s="5" t="str">
        <x:v>Trusted-CA behavior</x:v>
      </x:c>
      <x:c r="D109" s="5" t="str">
        <x:v>Follow RFC6066 extension encoding including empty extension_data as specified</x:v>
      </x:c>
      <x:c r="E109" s="5" t="str">
        <x:v>Conditional mandatory</x:v>
      </x:c>
      <x:c r="F109" s="5" t="str">
        <x:v>Trusted-CA extension implemented/used</x:v>
      </x:c>
      <x:c r="G109" s="5" t="str"/>
      <x:c r="H109" s="5" t="str">
        <x:v>7.5.3</x:v>
      </x:c>
      <x:c r="I109" s="5" t="str">
        <x:v>35</x:v>
      </x:c>
      <x:c r="J109" s="5" t="str">
        <x:v>27</x:v>
      </x:c>
      <x:c r="K109" s="5" t="str">
        <x:v>apps/ccli/adapters/iec61850_mms/mms_adapter.cpp; mms_rbac_security.cpp; adapters/iec60870_104/iec104_tls.cpp; core/config/ccli_config.hpp</x:v>
      </x:c>
      <x:c r="L109" s="5" t="str">
        <x:v>HiTEKS security/PKI lead</x:v>
      </x:c>
      <x:c r="M109" s="5" t="str">
        <x:v>Existing implementation area; requirement acceptance open</x:v>
      </x:c>
      <x:c r="N109" s="5" t="str">
        <x:v>Not demonstrated</x:v>
      </x:c>
      <x:c r="O109" s="5" t="str">
        <x:v>Positive and negative identity/trust/revocation tests on both claimed protocol endpoints. Verify: Follow RFC6066 extension encoding including empty extension_data as specified.</x:v>
      </x:c>
      <x:c r="P109" s="10" t="str"/>
      <x:c r="Q109" s="10" t="str">
        <x:v>Open</x:v>
      </x:c>
      <x:c r="R109" s="10" t="str"/>
      <x:c r="S109" s="10" t="str"/>
      <x:c r="T109" s="10" t="str"/>
      <x:c r="U109" s="5" t="str">
        <x:f>IF(Q109="Closed",IF(AND(R109&lt;&gt;"",S109&lt;&gt;""),"Closed recorded","Missing evidence/reviewer"),IF(Q109="N/A approved",IF(AND(T109&lt;&gt;"",S109&lt;&gt;""),"N/A recorded","Missing applicability approval"),"Open"))</x:f>
        <x:v>Open</x:v>
      </x:c>
      <x:c r="V109" s="5" t="str">
        <x:v>Normativa/EN IEC 62351-3-2023.pdf</x:v>
      </x:c>
      <x:c r="W109" s="5" t="str"/>
    </x:row>
    <x:row r="110" ht="36" customHeight="1">
      <x:c r="A110" s="5" t="str">
        <x:v>TLS-12-EXT-02-02</x:v>
      </x:c>
      <x:c r="B110" s="5" t="str">
        <x:v>12-EXT-02</x:v>
      </x:c>
      <x:c r="C110" s="5" t="str">
        <x:v>Trusted-CA behavior</x:v>
      </x:c>
      <x:c r="D110" s="5" t="str">
        <x:v>Server signals trusted_ca_keys when using the indication</x:v>
      </x:c>
      <x:c r="E110" s="5" t="str">
        <x:v>Conditional mandatory</x:v>
      </x:c>
      <x:c r="F110" s="5" t="str">
        <x:v>Trusted-CA extension implemented/used</x:v>
      </x:c>
      <x:c r="G110" s="5" t="str"/>
      <x:c r="H110" s="5" t="str">
        <x:v>7.5.3</x:v>
      </x:c>
      <x:c r="I110" s="5" t="str">
        <x:v>35</x:v>
      </x:c>
      <x:c r="J110" s="5" t="str">
        <x:v>27</x:v>
      </x:c>
      <x:c r="K110" s="5" t="str">
        <x:v>apps/ccli/adapters/iec61850_mms/mms_adapter.cpp; mms_rbac_security.cpp; adapters/iec60870_104/iec104_tls.cpp; core/config/ccli_config.hpp</x:v>
      </x:c>
      <x:c r="L110" s="5" t="str">
        <x:v>HiTEKS security/PKI lead</x:v>
      </x:c>
      <x:c r="M110" s="5" t="str">
        <x:v>Existing implementation area; requirement acceptance open</x:v>
      </x:c>
      <x:c r="N110" s="5" t="str">
        <x:v>Not demonstrated</x:v>
      </x:c>
      <x:c r="O110" s="5" t="str">
        <x:v>Positive and negative identity/trust/revocation tests on both claimed protocol endpoints. Verify: Server signals trusted_ca_keys when using the indication.</x:v>
      </x:c>
      <x:c r="P110" s="10" t="str"/>
      <x:c r="Q110" s="10" t="str">
        <x:v>Open</x:v>
      </x:c>
      <x:c r="R110" s="10" t="str"/>
      <x:c r="S110" s="10" t="str"/>
      <x:c r="T110" s="10" t="str"/>
      <x:c r="U110" s="5" t="str">
        <x:f>IF(Q110="Closed",IF(AND(R110&lt;&gt;"",S110&lt;&gt;""),"Closed recorded","Missing evidence/reviewer"),IF(Q110="N/A approved",IF(AND(T110&lt;&gt;"",S110&lt;&gt;""),"N/A recorded","Missing applicability approval"),"Open"))</x:f>
        <x:v>Open</x:v>
      </x:c>
      <x:c r="V110" s="5" t="str">
        <x:v>Normativa/EN IEC 62351-3-2023.pdf</x:v>
      </x:c>
      <x:c r="W110" s="5" t="str"/>
    </x:row>
    <x:row r="111" ht="36" customHeight="1">
      <x:c r="A111" s="5" t="str">
        <x:v>TLS-12-EXT-02-03</x:v>
      </x:c>
      <x:c r="B111" s="5" t="str">
        <x:v>12-EXT-02</x:v>
      </x:c>
      <x:c r="C111" s="5" t="str">
        <x:v>Trusted-CA behavior</x:v>
      </x:c>
      <x:c r="D111" s="5" t="str">
        <x:v>Raise matching-CA-certificate-not-found alarm on failed selection</x:v>
      </x:c>
      <x:c r="E111" s="5" t="str">
        <x:v>Conditional mandatory</x:v>
      </x:c>
      <x:c r="F111" s="5" t="str">
        <x:v>Trusted-CA extension implemented/used</x:v>
      </x:c>
      <x:c r="G111" s="5" t="str"/>
      <x:c r="H111" s="5" t="str">
        <x:v>7.5.3</x:v>
      </x:c>
      <x:c r="I111" s="5" t="str">
        <x:v>35</x:v>
      </x:c>
      <x:c r="J111" s="5" t="str">
        <x:v>27</x:v>
      </x:c>
      <x:c r="K111" s="5" t="str">
        <x:v>apps/ccli/adapters/iec61850_mms/mms_adapter.cpp; mms_rbac_security.cpp; adapters/iec60870_104/iec104_tls.cpp; core/config/ccli_config.hpp</x:v>
      </x:c>
      <x:c r="L111" s="5" t="str">
        <x:v>HiTEKS security/PKI lead</x:v>
      </x:c>
      <x:c r="M111" s="5" t="str">
        <x:v>Existing implementation area; requirement acceptance open</x:v>
      </x:c>
      <x:c r="N111" s="5" t="str">
        <x:v>Not demonstrated</x:v>
      </x:c>
      <x:c r="O111" s="5" t="str">
        <x:v>Positive and negative identity/trust/revocation tests on both claimed protocol endpoints. Verify: Raise matching-CA-certificate-not-found alarm on failed selection.</x:v>
      </x:c>
      <x:c r="P111" s="10" t="str"/>
      <x:c r="Q111" s="10" t="str">
        <x:v>Open</x:v>
      </x:c>
      <x:c r="R111" s="10" t="str"/>
      <x:c r="S111" s="10" t="str"/>
      <x:c r="T111" s="10" t="str"/>
      <x:c r="U111" s="5" t="str">
        <x:f>IF(Q111="Closed",IF(AND(R111&lt;&gt;"",S111&lt;&gt;""),"Closed recorded","Missing evidence/reviewer"),IF(Q111="N/A approved",IF(AND(T111&lt;&gt;"",S111&lt;&gt;""),"N/A recorded","Missing applicability approval"),"Open"))</x:f>
        <x:v>Open</x:v>
      </x:c>
      <x:c r="V111" s="5" t="str">
        <x:v>Normativa/EN IEC 62351-3-2023.pdf</x:v>
      </x:c>
      <x:c r="W111" s="5" t="str"/>
    </x:row>
    <x:row r="112" ht="36" customHeight="1">
      <x:c r="A112" s="5" t="str">
        <x:v>TLS-12-EXT-03-01</x:v>
      </x:c>
      <x:c r="B112" s="5" t="str">
        <x:v>12-EXT-03</x:v>
      </x:c>
      <x:c r="C112" s="5" t="str">
        <x:v>Signature algorithms extension</x:v>
      </x:c>
      <x:c r="D112" s="5" t="str">
        <x:v>Support signature_algorithms extension</x:v>
      </x:c>
      <x:c r="E112" s="5" t="str">
        <x:v>Mandatory</x:v>
      </x:c>
      <x:c r="F112" s="5" t="str">
        <x:v>TLS1.2</x:v>
      </x:c>
      <x:c r="G112" s="5" t="str"/>
      <x:c r="H112" s="5" t="str">
        <x:v>7.5.4</x:v>
      </x:c>
      <x:c r="I112" s="5" t="str">
        <x:v>35-36</x:v>
      </x:c>
      <x:c r="J112" s="5" t="str">
        <x:v>27,28</x:v>
      </x:c>
      <x:c r="K112" s="5" t="str">
        <x:v>apps/ccli/third_party/libiec61850/hal/tls/mbedtls3; adapters/iec61850_mms/mms_adapter.cpp; adapters/iec60870_104/iec104_tls.cpp; cmake/tls_allowlist_validation.cmake</x:v>
      </x:c>
      <x:c r="L112" s="5" t="str">
        <x:v>HiTEKS security + Tespro platform</x:v>
      </x:c>
      <x:c r="M112" s="5" t="str">
        <x:v>Existing implementation area; requirement acceptance open</x:v>
      </x:c>
      <x:c r="N112" s="5" t="str">
        <x:v>Not demonstrated</x:v>
      </x:c>
      <x:c r="O112" s="5" t="str">
        <x:v>Frozen-build algorithm/policy tests, key handling review and negative negotiation evidence. Verify: Support signature_algorithms extension.</x:v>
      </x:c>
      <x:c r="P112" s="10" t="str"/>
      <x:c r="Q112" s="10" t="str">
        <x:v>Open</x:v>
      </x:c>
      <x:c r="R112" s="10" t="str"/>
      <x:c r="S112" s="10" t="str"/>
      <x:c r="T112" s="10" t="str"/>
      <x:c r="U112" s="5" t="str">
        <x:f>IF(Q112="Closed",IF(AND(R112&lt;&gt;"",S112&lt;&gt;""),"Closed recorded","Missing evidence/reviewer"),IF(Q112="N/A approved",IF(AND(T112&lt;&gt;"",S112&lt;&gt;""),"N/A recorded","Missing applicability approval"),"Open"))</x:f>
        <x:v>Open</x:v>
      </x:c>
      <x:c r="V112" s="5" t="str">
        <x:v>Normativa/EN IEC 62351-3-2023.pdf</x:v>
      </x:c>
      <x:c r="W112" s="5" t="str"/>
    </x:row>
    <x:row r="113" ht="36" customHeight="1">
      <x:c r="A113" s="5" t="str">
        <x:v>TLS-12-EXT-03-02</x:v>
      </x:c>
      <x:c r="B113" s="5" t="str">
        <x:v>12-EXT-03</x:v>
      </x:c>
      <x:c r="C113" s="5" t="str">
        <x:v>Signature algorithms extension</x:v>
      </x:c>
      <x:c r="D113" s="5" t="str">
        <x:v>Client offers SHA256/RSA and SHA256/ECDSA minimum combinations</x:v>
      </x:c>
      <x:c r="E113" s="5" t="str">
        <x:v>Mandatory</x:v>
      </x:c>
      <x:c r="F113" s="5" t="str">
        <x:v>TLS1.2</x:v>
      </x:c>
      <x:c r="G113" s="5" t="str"/>
      <x:c r="H113" s="5" t="str">
        <x:v>7.5.4</x:v>
      </x:c>
      <x:c r="I113" s="5" t="str">
        <x:v>35-36</x:v>
      </x:c>
      <x:c r="J113" s="5" t="str">
        <x:v>27,28</x:v>
      </x:c>
      <x:c r="K113" s="5" t="str">
        <x:v>apps/ccli/third_party/libiec61850/hal/tls/mbedtls3; adapters/iec61850_mms/mms_adapter.cpp; adapters/iec60870_104/iec104_tls.cpp; cmake/tls_allowlist_validation.cmake</x:v>
      </x:c>
      <x:c r="L113" s="5" t="str">
        <x:v>HiTEKS security + Tespro platform</x:v>
      </x:c>
      <x:c r="M113" s="5" t="str">
        <x:v>Existing implementation area; requirement acceptance open</x:v>
      </x:c>
      <x:c r="N113" s="5" t="str">
        <x:v>Not demonstrated</x:v>
      </x:c>
      <x:c r="O113" s="5" t="str">
        <x:v>Frozen-build algorithm/policy tests, key handling review and negative negotiation evidence. Verify: Client offers SHA256/RSA and SHA256/ECDSA minimum combinations.</x:v>
      </x:c>
      <x:c r="P113" s="10" t="str"/>
      <x:c r="Q113" s="10" t="str">
        <x:v>Open</x:v>
      </x:c>
      <x:c r="R113" s="10" t="str"/>
      <x:c r="S113" s="10" t="str"/>
      <x:c r="T113" s="10" t="str"/>
      <x:c r="U113" s="5" t="str">
        <x:f>IF(Q113="Closed",IF(AND(R113&lt;&gt;"",S113&lt;&gt;""),"Closed recorded","Missing evidence/reviewer"),IF(Q113="N/A approved",IF(AND(T113&lt;&gt;"",S113&lt;&gt;""),"N/A recorded","Missing applicability approval"),"Open"))</x:f>
        <x:v>Open</x:v>
      </x:c>
      <x:c r="V113" s="5" t="str">
        <x:v>Normativa/EN IEC 62351-3-2023.pdf</x:v>
      </x:c>
      <x:c r="W113" s="5" t="str"/>
    </x:row>
    <x:row r="114" ht="36" customHeight="1">
      <x:c r="A114" s="5" t="str">
        <x:v>TLS-12-EXT-03-03</x:v>
      </x:c>
      <x:c r="B114" s="5" t="str">
        <x:v>12-EXT-03</x:v>
      </x:c>
      <x:c r="C114" s="5" t="str">
        <x:v>Signature algorithms extension</x:v>
      </x:c>
      <x:c r="D114" s="5" t="str">
        <x:v>Include deprecated SHA1/RSA only under security-policy compatibility permission</x:v>
      </x:c>
      <x:c r="E114" s="5" t="str">
        <x:v>Mandatory</x:v>
      </x:c>
      <x:c r="F114" s="5" t="str">
        <x:v>TLS1.2</x:v>
      </x:c>
      <x:c r="G114" s="5" t="str"/>
      <x:c r="H114" s="5" t="str">
        <x:v>7.5.4</x:v>
      </x:c>
      <x:c r="I114" s="5" t="str">
        <x:v>35-36</x:v>
      </x:c>
      <x:c r="J114" s="5" t="str">
        <x:v>27,28</x:v>
      </x:c>
      <x:c r="K114" s="5" t="str">
        <x:v>apps/ccli/third_party/libiec61850/hal/tls/mbedtls3; adapters/iec61850_mms/mms_adapter.cpp; adapters/iec60870_104/iec104_tls.cpp; cmake/tls_allowlist_validation.cmake</x:v>
      </x:c>
      <x:c r="L114" s="5" t="str">
        <x:v>HiTEKS security + Tespro platform</x:v>
      </x:c>
      <x:c r="M114" s="5" t="str">
        <x:v>Existing implementation area; requirement acceptance open</x:v>
      </x:c>
      <x:c r="N114" s="5" t="str">
        <x:v>Not demonstrated</x:v>
      </x:c>
      <x:c r="O114" s="5" t="str">
        <x:v>Frozen-build algorithm/policy tests, key handling review and negative negotiation evidence. Verify: Include deprecated SHA1/RSA only under security-policy compatibility permission.</x:v>
      </x:c>
      <x:c r="P114" s="10" t="str"/>
      <x:c r="Q114" s="10" t="str">
        <x:v>Open</x:v>
      </x:c>
      <x:c r="R114" s="10" t="str"/>
      <x:c r="S114" s="10" t="str"/>
      <x:c r="T114" s="10" t="str"/>
      <x:c r="U114" s="5" t="str">
        <x:f>IF(Q114="Closed",IF(AND(R114&lt;&gt;"",S114&lt;&gt;""),"Closed recorded","Missing evidence/reviewer"),IF(Q114="N/A approved",IF(AND(T114&lt;&gt;"",S114&lt;&gt;""),"N/A recorded","Missing applicability approval"),"Open"))</x:f>
        <x:v>Open</x:v>
      </x:c>
      <x:c r="V114" s="5" t="str">
        <x:v>Normativa/EN IEC 62351-3-2023.pdf</x:v>
      </x:c>
      <x:c r="W114" s="5" t="str"/>
    </x:row>
    <x:row r="115" ht="36" customHeight="1">
      <x:c r="A115" s="5" t="str">
        <x:v>TLS-12-EXT-03-04</x:v>
      </x:c>
      <x:c r="B115" s="5" t="str">
        <x:v>12-EXT-03</x:v>
      </x:c>
      <x:c r="C115" s="5" t="str">
        <x:v>Signature algorithms extension</x:v>
      </x:c>
      <x:c r="D115" s="5" t="str">
        <x:v>Warn when extension is missing</x:v>
      </x:c>
      <x:c r="E115" s="5" t="str">
        <x:v>Mandatory</x:v>
      </x:c>
      <x:c r="F115" s="5" t="str">
        <x:v>TLS1.2</x:v>
      </x:c>
      <x:c r="G115" s="5" t="str"/>
      <x:c r="H115" s="5" t="str">
        <x:v>7.5.4</x:v>
      </x:c>
      <x:c r="I115" s="5" t="str">
        <x:v>35-36</x:v>
      </x:c>
      <x:c r="J115" s="5" t="str">
        <x:v>27,28</x:v>
      </x:c>
      <x:c r="K115" s="5" t="str">
        <x:v>apps/ccli/third_party/libiec61850/hal/tls/mbedtls3; adapters/iec61850_mms/mms_adapter.cpp; adapters/iec60870_104/iec104_tls.cpp; cmake/tls_allowlist_validation.cmake</x:v>
      </x:c>
      <x:c r="L115" s="5" t="str">
        <x:v>HiTEKS security + Tespro platform</x:v>
      </x:c>
      <x:c r="M115" s="5" t="str">
        <x:v>Existing implementation area; requirement acceptance open</x:v>
      </x:c>
      <x:c r="N115" s="5" t="str">
        <x:v>Not demonstrated</x:v>
      </x:c>
      <x:c r="O115" s="5" t="str">
        <x:v>Frozen-build algorithm/policy tests, key handling review and negative negotiation evidence. Verify: Warn when extension is missing.</x:v>
      </x:c>
      <x:c r="P115" s="10" t="str"/>
      <x:c r="Q115" s="10" t="str">
        <x:v>Open</x:v>
      </x:c>
      <x:c r="R115" s="10" t="str"/>
      <x:c r="S115" s="10" t="str"/>
      <x:c r="T115" s="10" t="str"/>
      <x:c r="U115" s="5" t="str">
        <x:f>IF(Q115="Closed",IF(AND(R115&lt;&gt;"",S115&lt;&gt;""),"Closed recorded","Missing evidence/reviewer"),IF(Q115="N/A approved",IF(AND(T115&lt;&gt;"",S115&lt;&gt;""),"N/A recorded","Missing applicability approval"),"Open"))</x:f>
        <x:v>Open</x:v>
      </x:c>
      <x:c r="V115" s="5" t="str">
        <x:v>Normativa/EN IEC 62351-3-2023.pdf</x:v>
      </x:c>
      <x:c r="W115" s="5" t="str"/>
    </x:row>
    <x:row r="116" ht="36" customHeight="1">
      <x:c r="A116" s="5" t="str">
        <x:v>TLS-12-EXT-03-05</x:v>
      </x:c>
      <x:c r="B116" s="5" t="str">
        <x:v>12-EXT-03</x:v>
      </x:c>
      <x:c r="C116" s="5" t="str">
        <x:v>Signature algorithms extension</x:v>
      </x:c>
      <x:c r="D116" s="5" t="str">
        <x:v>Warn when deprecated SHA1/RSA is signalled</x:v>
      </x:c>
      <x:c r="E116" s="5" t="str">
        <x:v>Mandatory</x:v>
      </x:c>
      <x:c r="F116" s="5" t="str">
        <x:v>TLS1.2</x:v>
      </x:c>
      <x:c r="G116" s="5" t="str"/>
      <x:c r="H116" s="5" t="str">
        <x:v>7.5.4</x:v>
      </x:c>
      <x:c r="I116" s="5" t="str">
        <x:v>35-36</x:v>
      </x:c>
      <x:c r="J116" s="5" t="str">
        <x:v>27,28</x:v>
      </x:c>
      <x:c r="K116" s="5" t="str">
        <x:v>apps/ccli/third_party/libiec61850/hal/tls/mbedtls3; adapters/iec61850_mms/mms_adapter.cpp; adapters/iec60870_104/iec104_tls.cpp; cmake/tls_allowlist_validation.cmake</x:v>
      </x:c>
      <x:c r="L116" s="5" t="str">
        <x:v>HiTEKS security + Tespro platform</x:v>
      </x:c>
      <x:c r="M116" s="5" t="str">
        <x:v>Existing implementation area; requirement acceptance open</x:v>
      </x:c>
      <x:c r="N116" s="5" t="str">
        <x:v>Not demonstrated</x:v>
      </x:c>
      <x:c r="O116" s="5" t="str">
        <x:v>Frozen-build algorithm/policy tests, key handling review and negative negotiation evidence. Verify: Warn when deprecated SHA1/RSA is signalled.</x:v>
      </x:c>
      <x:c r="P116" s="10" t="str"/>
      <x:c r="Q116" s="10" t="str">
        <x:v>Open</x:v>
      </x:c>
      <x:c r="R116" s="10" t="str"/>
      <x:c r="S116" s="10" t="str"/>
      <x:c r="T116" s="10" t="str"/>
      <x:c r="U116" s="5" t="str">
        <x:f>IF(Q116="Closed",IF(AND(R116&lt;&gt;"",S116&lt;&gt;""),"Closed recorded","Missing evidence/reviewer"),IF(Q116="N/A approved",IF(AND(T116&lt;&gt;"",S116&lt;&gt;""),"N/A recorded","Missing applicability approval"),"Open"))</x:f>
        <x:v>Open</x:v>
      </x:c>
      <x:c r="V116" s="5" t="str">
        <x:v>Normativa/EN IEC 62351-3-2023.pdf</x:v>
      </x:c>
      <x:c r="W116" s="5" t="str"/>
    </x:row>
    <x:row r="117" ht="47" customHeight="1">
      <x:c r="A117" s="5" t="str">
        <x:v>TLS-12-EXT-04-01</x:v>
      </x:c>
      <x:c r="B117" s="5" t="str">
        <x:v>12-EXT-04</x:v>
      </x:c>
      <x:c r="C117" s="5" t="str">
        <x:v>OCSP stapling</x:v>
      </x:c>
      <x:c r="D117" s="5" t="str">
        <x:v>Support status_request OCSP stapling per RFC6066</x:v>
      </x:c>
      <x:c r="E117" s="5" t="str">
        <x:v>Mandatory</x:v>
      </x:c>
      <x:c r="F117" s="5" t="str">
        <x:v>TLS1.2</x:v>
      </x:c>
      <x:c r="G117" s="5" t="str"/>
      <x:c r="H117" s="5" t="str">
        <x:v>7.5.5.2;Table12</x:v>
      </x:c>
      <x:c r="I117" s="5" t="str">
        <x:v>36,49</x:v>
      </x:c>
      <x:c r="J117" s="5" t="str">
        <x:v>28,41</x:v>
      </x:c>
      <x:c r="K117" s="5" t="str">
        <x:v>apps/ccli/adapters/iec61850_mms/mms_adapter.cpp; mms_rbac_security.cpp; adapters/iec60870_104/iec104_tls.cpp; core/config/ccli_config.hpp</x:v>
      </x:c>
      <x:c r="L117" s="5" t="str">
        <x:v>HiTEKS security/PKI lead</x:v>
      </x:c>
      <x:c r="M117" s="5" t="str">
        <x:v>Existing implementation area; requirement acceptance open</x:v>
      </x:c>
      <x:c r="N117" s="5" t="str">
        <x:v>Not demonstrated</x:v>
      </x:c>
      <x:c r="O117" s="5" t="str">
        <x:v>Positive and negative identity/trust/revocation tests on both claimed protocol endpoints. Verify: Support status_request OCSP stapling per RFC6066.</x:v>
      </x:c>
      <x:c r="P117" s="10" t="str"/>
      <x:c r="Q117" s="10" t="str">
        <x:v>Open</x:v>
      </x:c>
      <x:c r="R117" s="10" t="str"/>
      <x:c r="S117" s="10" t="str"/>
      <x:c r="T117" s="10" t="str"/>
      <x:c r="U117" s="5" t="str">
        <x:f>IF(Q117="Closed",IF(AND(R117&lt;&gt;"",S117&lt;&gt;""),"Closed recorded","Missing evidence/reviewer"),IF(Q117="N/A approved",IF(AND(T117&lt;&gt;"",S117&lt;&gt;""),"N/A recorded","Missing applicability approval"),"Open"))</x:f>
        <x:v>Open</x:v>
      </x:c>
      <x:c r="V117" s="5" t="str">
        <x:v>Normativa/EN IEC 62351-3-2023.pdf</x:v>
      </x:c>
      <x:c r="W117" s="5" t="str">
        <x:v>Table12 explicitly marks status_request mandatory. Clause7.5.5.2 says status_request_v2 while referencing RFC6066; RFC6961/v2 is optional in7.5.5.3 and Table12. Track as editorial ambiguity; implement mandatory RFC6066 status_request and confirm with lab.</x:v>
      </x:c>
    </x:row>
    <x:row r="118" ht="47" customHeight="1">
      <x:c r="A118" s="5" t="str">
        <x:v>TLS-12-EXT-04-02</x:v>
      </x:c>
      <x:c r="B118" s="5" t="str">
        <x:v>12-EXT-04</x:v>
      </x:c>
      <x:c r="C118" s="5" t="str">
        <x:v>OCSP stapling</x:v>
      </x:c>
      <x:c r="D118" s="5" t="str">
        <x:v>Process the CertificateStatus response after the server Certificate message</x:v>
      </x:c>
      <x:c r="E118" s="5" t="str">
        <x:v>Mandatory</x:v>
      </x:c>
      <x:c r="F118" s="5" t="str">
        <x:v>TLS1.2</x:v>
      </x:c>
      <x:c r="G118" s="5" t="str"/>
      <x:c r="H118" s="5" t="str">
        <x:v>7.5.5.2;Table12</x:v>
      </x:c>
      <x:c r="I118" s="5" t="str">
        <x:v>36,49</x:v>
      </x:c>
      <x:c r="J118" s="5" t="str">
        <x:v>28,41</x:v>
      </x:c>
      <x:c r="K118" s="5" t="str">
        <x:v>apps/ccli/adapters/iec61850_mms/mms_adapter.cpp; mms_rbac_security.cpp; adapters/iec60870_104/iec104_tls.cpp; core/config/ccli_config.hpp</x:v>
      </x:c>
      <x:c r="L118" s="5" t="str">
        <x:v>HiTEKS security/PKI lead</x:v>
      </x:c>
      <x:c r="M118" s="5" t="str">
        <x:v>Existing implementation area; requirement acceptance open</x:v>
      </x:c>
      <x:c r="N118" s="5" t="str">
        <x:v>Not demonstrated</x:v>
      </x:c>
      <x:c r="O118" s="5" t="str">
        <x:v>Positive and negative identity/trust/revocation tests on both claimed protocol endpoints. Verify: Process the CertificateStatus response after the server Certificate message.</x:v>
      </x:c>
      <x:c r="P118" s="10" t="str"/>
      <x:c r="Q118" s="10" t="str">
        <x:v>Open</x:v>
      </x:c>
      <x:c r="R118" s="10" t="str"/>
      <x:c r="S118" s="10" t="str"/>
      <x:c r="T118" s="10" t="str"/>
      <x:c r="U118" s="5" t="str">
        <x:f>IF(Q118="Closed",IF(AND(R118&lt;&gt;"",S118&lt;&gt;""),"Closed recorded","Missing evidence/reviewer"),IF(Q118="N/A approved",IF(AND(T118&lt;&gt;"",S118&lt;&gt;""),"N/A recorded","Missing applicability approval"),"Open"))</x:f>
        <x:v>Open</x:v>
      </x:c>
      <x:c r="V118" s="5" t="str">
        <x:v>Normativa/EN IEC 62351-3-2023.pdf</x:v>
      </x:c>
      <x:c r="W118" s="5" t="str">
        <x:v>Table12 explicitly marks status_request mandatory. Clause7.5.5.2 says status_request_v2 while referencing RFC6066; RFC6961/v2 is optional in7.5.5.3 and Table12. Track as editorial ambiguity; implement mandatory RFC6066 status_request and confirm with lab.</x:v>
      </x:c>
    </x:row>
    <x:row r="119" ht="36" customHeight="1">
      <x:c r="A119" s="5" t="str">
        <x:v>TLS-12-EXT-05-01</x:v>
      </x:c>
      <x:c r="B119" s="5" t="str">
        <x:v>12-EXT-05</x:v>
      </x:c>
      <x:c r="C119" s="5" t="str">
        <x:v>OCSP multistapling</x:v>
      </x:c>
      <x:c r="D119" s="5" t="str">
        <x:v>Implement status_request_v2 per RFC6961 and process OCSPResponseList for certificate chain if selected</x:v>
      </x:c>
      <x:c r="E119" s="5" t="str">
        <x:v>Conditional mandatory</x:v>
      </x:c>
      <x:c r="F119" s="5" t="str">
        <x:v>Optional multistapling implemented</x:v>
      </x:c>
      <x:c r="G119" s="5" t="str"/>
      <x:c r="H119" s="5" t="str">
        <x:v>7.5.5.3</x:v>
      </x:c>
      <x:c r="I119" s="5" t="str">
        <x:v>37</x:v>
      </x:c>
      <x:c r="J119" s="5" t="str">
        <x:v>29</x:v>
      </x:c>
      <x:c r="K119" s="5" t="str">
        <x:v>apps/ccli/adapters/iec61850_mms/mms_adapter.cpp; mms_rbac_security.cpp; adapters/iec60870_104/iec104_tls.cpp; core/config/ccli_config.hpp</x:v>
      </x:c>
      <x:c r="L119" s="5" t="str">
        <x:v>HiTEKS security/PKI lead</x:v>
      </x:c>
      <x:c r="M119" s="5" t="str">
        <x:v>Existing implementation area; requirement acceptance open</x:v>
      </x:c>
      <x:c r="N119" s="5" t="str">
        <x:v>Not demonstrated</x:v>
      </x:c>
      <x:c r="O119" s="5" t="str">
        <x:v>Positive and negative identity/trust/revocation tests on both claimed protocol endpoints. Verify: Implement status_request_v2 per RFC6961 and process OCSPResponseList for certificate chain if selected.</x:v>
      </x:c>
      <x:c r="P119" s="10" t="str"/>
      <x:c r="Q119" s="10" t="str">
        <x:v>Open</x:v>
      </x:c>
      <x:c r="R119" s="10" t="str"/>
      <x:c r="S119" s="10" t="str"/>
      <x:c r="T119" s="10" t="str"/>
      <x:c r="U119" s="5" t="str">
        <x:f>IF(Q119="Closed",IF(AND(R119&lt;&gt;"",S119&lt;&gt;""),"Closed recorded","Missing evidence/reviewer"),IF(Q119="N/A approved",IF(AND(T119&lt;&gt;"",S119&lt;&gt;""),"N/A recorded","Missing applicability approval"),"Open"))</x:f>
        <x:v>Open</x:v>
      </x:c>
      <x:c r="V119" s="5" t="str">
        <x:v>Normativa/EN IEC 62351-3-2023.pdf</x:v>
      </x:c>
      <x:c r="W119" s="5" t="str"/>
    </x:row>
    <x:row r="120" ht="36" customHeight="1">
      <x:c r="A120" s="5" t="str">
        <x:v>TLS-12-EXT-06-01</x:v>
      </x:c>
      <x:c r="B120" s="5" t="str">
        <x:v>12-EXT-06</x:v>
      </x:c>
      <x:c r="C120" s="5" t="str">
        <x:v>Encrypt-then-MAC</x:v>
      </x:c>
      <x:c r="D120" s="5" t="str">
        <x:v>Support RFC7366 encrypt_then_mac</x:v>
      </x:c>
      <x:c r="E120" s="5" t="str">
        <x:v>Mandatory</x:v>
      </x:c>
      <x:c r="F120" s="5" t="str">
        <x:v>TLS1.2</x:v>
      </x:c>
      <x:c r="G120" s="5" t="str"/>
      <x:c r="H120" s="5" t="str">
        <x:v>7.5.7</x:v>
      </x:c>
      <x:c r="I120" s="5" t="str">
        <x:v>37</x:v>
      </x:c>
      <x:c r="J120" s="5" t="str">
        <x:v>29</x:v>
      </x:c>
      <x:c r="K120" s="5" t="str">
        <x:v>apps/ccli/third_party/libiec61850/hal/tls/mbedtls3; adapters/iec61850_mms/mms_adapter.cpp; adapters/iec60870_104/iec104_tls.cpp; cmake/tls_allowlist_validation.cmake</x:v>
      </x:c>
      <x:c r="L120" s="5" t="str">
        <x:v>HiTEKS security + Tespro platform</x:v>
      </x:c>
      <x:c r="M120" s="5" t="str">
        <x:v>Existing implementation area; requirement acceptance open</x:v>
      </x:c>
      <x:c r="N120" s="5" t="str">
        <x:v>Not demonstrated</x:v>
      </x:c>
      <x:c r="O120" s="5" t="str">
        <x:v>Frozen-build algorithm/policy tests, key handling review and negative negotiation evidence. Verify: Support RFC7366 encrypt_then_mac.</x:v>
      </x:c>
      <x:c r="P120" s="10" t="str"/>
      <x:c r="Q120" s="10" t="str">
        <x:v>Open</x:v>
      </x:c>
      <x:c r="R120" s="10" t="str"/>
      <x:c r="S120" s="10" t="str"/>
      <x:c r="T120" s="10" t="str"/>
      <x:c r="U120" s="5" t="str">
        <x:f>IF(Q120="Closed",IF(AND(R120&lt;&gt;"",S120&lt;&gt;""),"Closed recorded","Missing evidence/reviewer"),IF(Q120="N/A approved",IF(AND(T120&lt;&gt;"",S120&lt;&gt;""),"N/A recorded","Missing applicability approval"),"Open"))</x:f>
        <x:v>Open</x:v>
      </x:c>
      <x:c r="V120" s="5" t="str">
        <x:v>Normativa/EN IEC 62351-3-2023.pdf</x:v>
      </x:c>
      <x:c r="W120" s="5" t="str"/>
    </x:row>
    <x:row r="121" ht="36" customHeight="1">
      <x:c r="A121" s="5" t="str">
        <x:v>TLS-12-EXT-06-02</x:v>
      </x:c>
      <x:c r="B121" s="5" t="str">
        <x:v>12-EXT-06</x:v>
      </x:c>
      <x:c r="C121" s="5" t="str">
        <x:v>Encrypt-then-MAC</x:v>
      </x:c>
      <x:c r="D121" s="5" t="str">
        <x:v>If CBC is signalled/selected without this extension, raise MAC-then-encrypt alarm</x:v>
      </x:c>
      <x:c r="E121" s="5" t="str">
        <x:v>Mandatory</x:v>
      </x:c>
      <x:c r="F121" s="5" t="str">
        <x:v>TLS1.2</x:v>
      </x:c>
      <x:c r="G121" s="5" t="str"/>
      <x:c r="H121" s="5" t="str">
        <x:v>7.5.7</x:v>
      </x:c>
      <x:c r="I121" s="5" t="str">
        <x:v>37</x:v>
      </x:c>
      <x:c r="J121" s="5" t="str">
        <x:v>29</x:v>
      </x:c>
      <x:c r="K121" s="5" t="str">
        <x:v>apps/ccli/third_party/libiec61850/hal/tls/mbedtls3; adapters/iec61850_mms/mms_adapter.cpp; adapters/iec60870_104/iec104_tls.cpp; cmake/tls_allowlist_validation.cmake</x:v>
      </x:c>
      <x:c r="L121" s="5" t="str">
        <x:v>HiTEKS security + Tespro platform</x:v>
      </x:c>
      <x:c r="M121" s="5" t="str">
        <x:v>Existing implementation area; requirement acceptance open</x:v>
      </x:c>
      <x:c r="N121" s="5" t="str">
        <x:v>Not demonstrated</x:v>
      </x:c>
      <x:c r="O121" s="5" t="str">
        <x:v>Frozen-build algorithm/policy tests, key handling review and negative negotiation evidence. Verify: If CBC is signalled/selected without this extension, raise MAC-then-encrypt alarm.</x:v>
      </x:c>
      <x:c r="P121" s="10" t="str"/>
      <x:c r="Q121" s="10" t="str">
        <x:v>Open</x:v>
      </x:c>
      <x:c r="R121" s="10" t="str"/>
      <x:c r="S121" s="10" t="str"/>
      <x:c r="T121" s="10" t="str"/>
      <x:c r="U121" s="5" t="str">
        <x:f>IF(Q121="Closed",IF(AND(R121&lt;&gt;"",S121&lt;&gt;""),"Closed recorded","Missing evidence/reviewer"),IF(Q121="N/A approved",IF(AND(T121&lt;&gt;"",S121&lt;&gt;""),"N/A recorded","Missing applicability approval"),"Open"))</x:f>
        <x:v>Open</x:v>
      </x:c>
      <x:c r="V121" s="5" t="str">
        <x:v>Normativa/EN IEC 62351-3-2023.pdf</x:v>
      </x:c>
      <x:c r="W121" s="5" t="str"/>
    </x:row>
    <x:row r="122" ht="36" customHeight="1">
      <x:c r="A122" s="5" t="str">
        <x:v>TLS-12-EXT-06-03</x:v>
      </x:c>
      <x:c r="B122" s="5" t="str">
        <x:v>12-EXT-06</x:v>
      </x:c>
      <x:c r="C122" s="5" t="str">
        <x:v>Encrypt-then-MAC</x:v>
      </x:c>
      <x:c r="D122" s="5" t="str">
        <x:v>Terminate the affected session</x:v>
      </x:c>
      <x:c r="E122" s="5" t="str">
        <x:v>Mandatory</x:v>
      </x:c>
      <x:c r="F122" s="5" t="str">
        <x:v>TLS1.2</x:v>
      </x:c>
      <x:c r="G122" s="5" t="str"/>
      <x:c r="H122" s="5" t="str">
        <x:v>7.5.7</x:v>
      </x:c>
      <x:c r="I122" s="5" t="str">
        <x:v>37</x:v>
      </x:c>
      <x:c r="J122" s="5" t="str">
        <x:v>29</x:v>
      </x:c>
      <x:c r="K122" s="5" t="str">
        <x:v>apps/ccli/third_party/libiec61850/hal/tls/mbedtls3; adapters/iec61850_mms/mms_adapter.cpp; adapters/iec60870_104/iec104_tls.cpp; cmake/tls_allowlist_validation.cmake</x:v>
      </x:c>
      <x:c r="L122" s="5" t="str">
        <x:v>HiTEKS security + Tespro platform</x:v>
      </x:c>
      <x:c r="M122" s="5" t="str">
        <x:v>Existing implementation area; requirement acceptance open</x:v>
      </x:c>
      <x:c r="N122" s="5" t="str">
        <x:v>Not demonstrated</x:v>
      </x:c>
      <x:c r="O122" s="5" t="str">
        <x:v>Frozen-build algorithm/policy tests, key handling review and negative negotiation evidence. Verify: Terminate the affected session.</x:v>
      </x:c>
      <x:c r="P122" s="10" t="str"/>
      <x:c r="Q122" s="10" t="str">
        <x:v>Open</x:v>
      </x:c>
      <x:c r="R122" s="10" t="str"/>
      <x:c r="S122" s="10" t="str"/>
      <x:c r="T122" s="10" t="str"/>
      <x:c r="U122" s="5" t="str">
        <x:f>IF(Q122="Closed",IF(AND(R122&lt;&gt;"",S122&lt;&gt;""),"Closed recorded","Missing evidence/reviewer"),IF(Q122="N/A approved",IF(AND(T122&lt;&gt;"",S122&lt;&gt;""),"N/A recorded","Missing applicability approval"),"Open"))</x:f>
        <x:v>Open</x:v>
      </x:c>
      <x:c r="V122" s="5" t="str">
        <x:v>Normativa/EN IEC 62351-3-2023.pdf</x:v>
      </x:c>
      <x:c r="W122" s="5" t="str"/>
    </x:row>
    <x:row r="123" ht="47" customHeight="1">
      <x:c r="A123" s="5" t="str">
        <x:v>TLS-13-POLICY-01</x:v>
      </x:c>
      <x:c r="B123" s="5" t="str">
        <x:v>13-POLICY</x:v>
      </x:c>
      <x:c r="C123" s="5" t="str">
        <x:v>TLS1.3 encryption policy</x:v>
      </x:c>
      <x:c r="D123" s="5" t="str">
        <x:v>Do not use non-AEAD/non-encrypting suites outside administrative domain without other guaranteed encryption</x:v>
      </x:c>
      <x:c r="E123" s="5" t="str">
        <x:v>Conditional mandatory</x:v>
      </x:c>
      <x:c r="F123" s="5" t="str">
        <x:v>TLS1.3 support selected</x:v>
      </x:c>
      <x:c r="G123" s="5" t="str"/>
      <x:c r="H123" s="5" t="str">
        <x:v>8.2</x:v>
      </x:c>
      <x:c r="I123" s="5" t="str">
        <x:v>38</x:v>
      </x:c>
      <x:c r="J123" s="5" t="str">
        <x:v>30</x:v>
      </x:c>
      <x:c r="K123" s="5" t="str">
        <x:v>apps/ccli/third_party/libiec61850/hal/tls/mbedtls3; adapters/iec61850_mms/mms_adapter.cpp; adapters/iec60870_104/iec104_tls.cpp; cmake/tls_allowlist_validation.cmake</x:v>
      </x:c>
      <x:c r="L123" s="5" t="str">
        <x:v>HiTEKS security + Tespro platform</x:v>
      </x:c>
      <x:c r="M123" s="5" t="str">
        <x:v>Existing implementation area; requirement acceptance open</x:v>
      </x:c>
      <x:c r="N123" s="5" t="str">
        <x:v>Not demonstrated</x:v>
      </x:c>
      <x:c r="O123" s="5" t="str">
        <x:v>Frozen-build algorithm/policy tests, key handling review and negative negotiation evidence. Verify: Do not use non-AEAD/non-encrypting suites outside administrative domain without other guaranteed encryption.</x:v>
      </x:c>
      <x:c r="P123" s="10" t="str"/>
      <x:c r="Q123" s="10" t="str">
        <x:v>Open</x:v>
      </x:c>
      <x:c r="R123" s="10" t="str"/>
      <x:c r="S123" s="10" t="str"/>
      <x:c r="T123" s="10" t="str"/>
      <x:c r="U123" s="5" t="str">
        <x:f>IF(Q123="Closed",IF(AND(R123&lt;&gt;"",S123&lt;&gt;""),"Closed recorded","Missing evidence/reviewer"),IF(Q123="N/A approved",IF(AND(T123&lt;&gt;"",S123&lt;&gt;""),"N/A recorded","Missing applicability approval"),"Open"))</x:f>
        <x:v>Open</x:v>
      </x:c>
      <x:c r="V123" s="5" t="str">
        <x:v>Normativa/EN IEC 62351-3-2023.pdf</x:v>
      </x:c>
      <x:c r="W123" s="5" t="str"/>
    </x:row>
    <x:row r="124" ht="36" customHeight="1">
      <x:c r="A124" s="5" t="str">
        <x:v>TLS-13-POLICY-02</x:v>
      </x:c>
      <x:c r="B124" s="5" t="str">
        <x:v>13-POLICY</x:v>
      </x:c>
      <x:c r="C124" s="5" t="str">
        <x:v>TLS1.3 encryption policy</x:v>
      </x:c>
      <x:c r="D124" s="5" t="str">
        <x:v>Disable integrity-only suites by default and provide distinct authorized enabling</x:v>
      </x:c>
      <x:c r="E124" s="5" t="str">
        <x:v>Conditional mandatory</x:v>
      </x:c>
      <x:c r="F124" s="5" t="str">
        <x:v>TLS1.3 support selected</x:v>
      </x:c>
      <x:c r="G124" s="5" t="str"/>
      <x:c r="H124" s="5" t="str">
        <x:v>8.2</x:v>
      </x:c>
      <x:c r="I124" s="5" t="str">
        <x:v>38</x:v>
      </x:c>
      <x:c r="J124" s="5" t="str">
        <x:v>30</x:v>
      </x:c>
      <x:c r="K124" s="5" t="str">
        <x:v>apps/ccli/third_party/libiec61850/hal/tls/mbedtls3; adapters/iec61850_mms/mms_adapter.cpp; adapters/iec60870_104/iec104_tls.cpp; cmake/tls_allowlist_validation.cmake</x:v>
      </x:c>
      <x:c r="L124" s="5" t="str">
        <x:v>HiTEKS security + Tespro platform</x:v>
      </x:c>
      <x:c r="M124" s="5" t="str">
        <x:v>Existing implementation area; requirement acceptance open</x:v>
      </x:c>
      <x:c r="N124" s="5" t="str">
        <x:v>Not demonstrated</x:v>
      </x:c>
      <x:c r="O124" s="5" t="str">
        <x:v>Frozen-build algorithm/policy tests, key handling review and negative negotiation evidence. Verify: Disable integrity-only suites by default and provide distinct authorized enabling.</x:v>
      </x:c>
      <x:c r="P124" s="10" t="str"/>
      <x:c r="Q124" s="10" t="str">
        <x:v>Open</x:v>
      </x:c>
      <x:c r="R124" s="10" t="str"/>
      <x:c r="S124" s="10" t="str"/>
      <x:c r="T124" s="10" t="str"/>
      <x:c r="U124" s="5" t="str">
        <x:f>IF(Q124="Closed",IF(AND(R124&lt;&gt;"",S124&lt;&gt;""),"Closed recorded","Missing evidence/reviewer"),IF(Q124="N/A approved",IF(AND(T124&lt;&gt;"",S124&lt;&gt;""),"N/A recorded","Missing applicability approval"),"Open"))</x:f>
        <x:v>Open</x:v>
      </x:c>
      <x:c r="V124" s="5" t="str">
        <x:v>Normativa/EN IEC 62351-3-2023.pdf</x:v>
      </x:c>
      <x:c r="W124" s="5" t="str"/>
    </x:row>
    <x:row r="125" ht="36" customHeight="1">
      <x:c r="A125" s="5" t="str">
        <x:v>TLS-13-HS-01-01</x:v>
      </x:c>
      <x:c r="B125" s="5" t="str">
        <x:v>13-HS-01</x:v>
      </x:c>
      <x:c r="C125" s="5" t="str">
        <x:v>TLS1.3 handshake modes</x:v>
      </x:c>
      <x:c r="D125" s="5" t="str">
        <x:v>Support and default to ephemeral DH/ECDH</x:v>
      </x:c>
      <x:c r="E125" s="5" t="str">
        <x:v>Conditional mandatory</x:v>
      </x:c>
      <x:c r="F125" s="5" t="str">
        <x:v>TLS1.3 support selected</x:v>
      </x:c>
      <x:c r="G125" s="5" t="str"/>
      <x:c r="H125" s="5" t="str">
        <x:v>8.3.1;8.3.2</x:v>
      </x:c>
      <x:c r="I125" s="5" t="str">
        <x:v>38-39</x:v>
      </x:c>
      <x:c r="J125" s="5" t="str">
        <x:v>30,31</x:v>
      </x:c>
      <x:c r="K125" s="5" t="str">
        <x:v>apps/ccli/third_party/libiec61850/hal/tls/mbedtls3; adapters/iec61850_mms/mms_adapter.cpp; adapters/iec60870_104/iec104_tls.cpp; cmake/tls_allowlist_validation.cmake</x:v>
      </x:c>
      <x:c r="L125" s="5" t="str">
        <x:v>HiTEKS security + Tespro platform</x:v>
      </x:c>
      <x:c r="M125" s="5" t="str">
        <x:v>Existing implementation area; requirement acceptance open</x:v>
      </x:c>
      <x:c r="N125" s="5" t="str">
        <x:v>Not demonstrated</x:v>
      </x:c>
      <x:c r="O125" s="5" t="str">
        <x:v>Frozen-build algorithm/policy tests, key handling review and negative negotiation evidence. Verify: Support and default to ephemeral DH/ECDH.</x:v>
      </x:c>
      <x:c r="P125" s="10" t="str"/>
      <x:c r="Q125" s="10" t="str">
        <x:v>Open</x:v>
      </x:c>
      <x:c r="R125" s="10" t="str"/>
      <x:c r="S125" s="10" t="str"/>
      <x:c r="T125" s="10" t="str"/>
      <x:c r="U125" s="5" t="str">
        <x:f>IF(Q125="Closed",IF(AND(R125&lt;&gt;"",S125&lt;&gt;""),"Closed recorded","Missing evidence/reviewer"),IF(Q125="N/A approved",IF(AND(T125&lt;&gt;"",S125&lt;&gt;""),"N/A recorded","Missing applicability approval"),"Open"))</x:f>
        <x:v>Open</x:v>
      </x:c>
      <x:c r="V125" s="5" t="str">
        <x:v>Normativa/EN IEC 62351-3-2023.pdf</x:v>
      </x:c>
      <x:c r="W125" s="5" t="str"/>
    </x:row>
    <x:row r="126" ht="36" customHeight="1">
      <x:c r="A126" s="5" t="str">
        <x:v>TLS-13-HS-01-02</x:v>
      </x:c>
      <x:c r="B126" s="5" t="str">
        <x:v>13-HS-01</x:v>
      </x:c>
      <x:c r="C126" s="5" t="str">
        <x:v>TLS1.3 handshake modes</x:v>
      </x:c>
      <x:c r="D126" s="5" t="str">
        <x:v>Support psk_dhe_ke</x:v>
      </x:c>
      <x:c r="E126" s="5" t="str">
        <x:v>Conditional mandatory</x:v>
      </x:c>
      <x:c r="F126" s="5" t="str">
        <x:v>TLS1.3 support selected</x:v>
      </x:c>
      <x:c r="G126" s="5" t="str"/>
      <x:c r="H126" s="5" t="str">
        <x:v>8.3.1;8.3.2</x:v>
      </x:c>
      <x:c r="I126" s="5" t="str">
        <x:v>38-39</x:v>
      </x:c>
      <x:c r="J126" s="5" t="str">
        <x:v>30,31</x:v>
      </x:c>
      <x:c r="K126" s="5" t="str">
        <x:v>apps/ccli/third_party/libiec61850/hal/tls/mbedtls3; adapters/iec61850_mms/mms_adapter.cpp; adapters/iec60870_104/iec104_tls.cpp; cmake/tls_allowlist_validation.cmake</x:v>
      </x:c>
      <x:c r="L126" s="5" t="str">
        <x:v>HiTEKS security + Tespro platform</x:v>
      </x:c>
      <x:c r="M126" s="5" t="str">
        <x:v>Existing implementation area; requirement acceptance open</x:v>
      </x:c>
      <x:c r="N126" s="5" t="str">
        <x:v>Not demonstrated</x:v>
      </x:c>
      <x:c r="O126" s="5" t="str">
        <x:v>Frozen-build algorithm/policy tests, key handling review and negative negotiation evidence. Verify: Support psk_dhe_ke.</x:v>
      </x:c>
      <x:c r="P126" s="10" t="str"/>
      <x:c r="Q126" s="10" t="str">
        <x:v>Open</x:v>
      </x:c>
      <x:c r="R126" s="10" t="str"/>
      <x:c r="S126" s="10" t="str"/>
      <x:c r="T126" s="10" t="str"/>
      <x:c r="U126" s="5" t="str">
        <x:f>IF(Q126="Closed",IF(AND(R126&lt;&gt;"",S126&lt;&gt;""),"Closed recorded","Missing evidence/reviewer"),IF(Q126="N/A approved",IF(AND(T126&lt;&gt;"",S126&lt;&gt;""),"N/A recorded","Missing applicability approval"),"Open"))</x:f>
        <x:v>Open</x:v>
      </x:c>
      <x:c r="V126" s="5" t="str">
        <x:v>Normativa/EN IEC 62351-3-2023.pdf</x:v>
      </x:c>
      <x:c r="W126" s="5" t="str"/>
    </x:row>
    <x:row r="127" ht="36" customHeight="1">
      <x:c r="A127" s="5" t="str">
        <x:v>TLS-13-HS-01-03</x:v>
      </x:c>
      <x:c r="B127" s="5" t="str">
        <x:v>13-HS-01</x:v>
      </x:c>
      <x:c r="C127" s="5" t="str">
        <x:v>TLS1.3 handshake modes</x:v>
      </x:c>
      <x:c r="D127" s="5" t="str">
        <x:v>Do not use psk_ke</x:v>
      </x:c>
      <x:c r="E127" s="5" t="str">
        <x:v>Conditional mandatory</x:v>
      </x:c>
      <x:c r="F127" s="5" t="str">
        <x:v>TLS1.3 support selected</x:v>
      </x:c>
      <x:c r="G127" s="5" t="str"/>
      <x:c r="H127" s="5" t="str">
        <x:v>8.3.1;8.3.2</x:v>
      </x:c>
      <x:c r="I127" s="5" t="str">
        <x:v>38-39</x:v>
      </x:c>
      <x:c r="J127" s="5" t="str">
        <x:v>30,31</x:v>
      </x:c>
      <x:c r="K127" s="5" t="str">
        <x:v>apps/ccli/third_party/libiec61850/hal/tls/mbedtls3; adapters/iec61850_mms/mms_adapter.cpp; adapters/iec60870_104/iec104_tls.cpp; cmake/tls_allowlist_validation.cmake</x:v>
      </x:c>
      <x:c r="L127" s="5" t="str">
        <x:v>HiTEKS security + Tespro platform</x:v>
      </x:c>
      <x:c r="M127" s="5" t="str">
        <x:v>Existing implementation area; requirement acceptance open</x:v>
      </x:c>
      <x:c r="N127" s="5" t="str">
        <x:v>Not demonstrated</x:v>
      </x:c>
      <x:c r="O127" s="5" t="str">
        <x:v>Frozen-build algorithm/policy tests, key handling review and negative negotiation evidence. Verify: Do not use psk_ke.</x:v>
      </x:c>
      <x:c r="P127" s="10" t="str"/>
      <x:c r="Q127" s="10" t="str">
        <x:v>Open</x:v>
      </x:c>
      <x:c r="R127" s="10" t="str"/>
      <x:c r="S127" s="10" t="str"/>
      <x:c r="T127" s="10" t="str"/>
      <x:c r="U127" s="5" t="str">
        <x:f>IF(Q127="Closed",IF(AND(R127&lt;&gt;"",S127&lt;&gt;""),"Closed recorded","Missing evidence/reviewer"),IF(Q127="N/A approved",IF(AND(T127&lt;&gt;"",S127&lt;&gt;""),"N/A recorded","Missing applicability approval"),"Open"))</x:f>
        <x:v>Open</x:v>
      </x:c>
      <x:c r="V127" s="5" t="str">
        <x:v>Normativa/EN IEC 62351-3-2023.pdf</x:v>
      </x:c>
      <x:c r="W127" s="5" t="str"/>
    </x:row>
    <x:row r="128" ht="36" customHeight="1">
      <x:c r="A128" s="5" t="str">
        <x:v>TLS-13-HS-01-04</x:v>
      </x:c>
      <x:c r="B128" s="5" t="str">
        <x:v>13-HS-01</x:v>
      </x:c>
      <x:c r="C128" s="5" t="str">
        <x:v>TLS1.3 handshake modes</x:v>
      </x:c>
      <x:c r="D128" s="5" t="str">
        <x:v>Alarm and terminate when client supports only non-ephemeral PSK</x:v>
      </x:c>
      <x:c r="E128" s="5" t="str">
        <x:v>Conditional mandatory</x:v>
      </x:c>
      <x:c r="F128" s="5" t="str">
        <x:v>TLS1.3 support selected</x:v>
      </x:c>
      <x:c r="G128" s="5" t="str"/>
      <x:c r="H128" s="5" t="str">
        <x:v>8.3.1;8.3.2</x:v>
      </x:c>
      <x:c r="I128" s="5" t="str">
        <x:v>38-39</x:v>
      </x:c>
      <x:c r="J128" s="5" t="str">
        <x:v>30,31</x:v>
      </x:c>
      <x:c r="K128" s="5" t="str">
        <x:v>apps/ccli/third_party/libiec61850/hal/tls/mbedtls3; adapters/iec61850_mms/mms_adapter.cpp; adapters/iec60870_104/iec104_tls.cpp; cmake/tls_allowlist_validation.cmake</x:v>
      </x:c>
      <x:c r="L128" s="5" t="str">
        <x:v>HiTEKS security + Tespro platform</x:v>
      </x:c>
      <x:c r="M128" s="5" t="str">
        <x:v>Existing implementation area; requirement acceptance open</x:v>
      </x:c>
      <x:c r="N128" s="5" t="str">
        <x:v>Not demonstrated</x:v>
      </x:c>
      <x:c r="O128" s="5" t="str">
        <x:v>Frozen-build algorithm/policy tests, key handling review and negative negotiation evidence. Verify: Alarm and terminate when client supports only non-ephemeral PSK.</x:v>
      </x:c>
      <x:c r="P128" s="10" t="str"/>
      <x:c r="Q128" s="10" t="str">
        <x:v>Open</x:v>
      </x:c>
      <x:c r="R128" s="10" t="str"/>
      <x:c r="S128" s="10" t="str"/>
      <x:c r="T128" s="10" t="str"/>
      <x:c r="U128" s="5" t="str">
        <x:f>IF(Q128="Closed",IF(AND(R128&lt;&gt;"",S128&lt;&gt;""),"Closed recorded","Missing evidence/reviewer"),IF(Q128="N/A approved",IF(AND(T128&lt;&gt;"",S128&lt;&gt;""),"N/A recorded","Missing applicability approval"),"Open"))</x:f>
        <x:v>Open</x:v>
      </x:c>
      <x:c r="V128" s="5" t="str">
        <x:v>Normativa/EN IEC 62351-3-2023.pdf</x:v>
      </x:c>
      <x:c r="W128" s="5" t="str"/>
    </x:row>
    <x:row r="129" ht="36" customHeight="1">
      <x:c r="A129" s="5" t="str">
        <x:v>TLS-13-HS-02-01</x:v>
      </x:c>
      <x:c r="B129" s="5" t="str">
        <x:v>13-HS-02</x:v>
      </x:c>
      <x:c r="C129" s="5" t="str">
        <x:v>No early application data</x:v>
      </x:c>
      <x:c r="D129" s="5" t="str">
        <x:v>Do not send application data during initial handshake</x:v>
      </x:c>
      <x:c r="E129" s="5" t="str">
        <x:v>Prohibited</x:v>
      </x:c>
      <x:c r="F129" s="5" t="str">
        <x:v>TLS1.3 support selected</x:v>
      </x:c>
      <x:c r="G129" s="5" t="str"/>
      <x:c r="H129" s="5" t="str">
        <x:v>8.3.2;8.8.11</x:v>
      </x:c>
      <x:c r="I129" s="5" t="str">
        <x:v>39,46</x:v>
      </x:c>
      <x:c r="J129" s="5" t="str">
        <x:v>31,38</x:v>
      </x:c>
      <x:c r="K129" s="5" t="str">
        <x:v>apps/ccli/third_party/libiec61850/hal/tls/mbedtls3; adapters/iec61850_mms/mms_adapter.cpp; adapters/iec60870_104/iec104_tls.cpp; cmake/tls_allowlist_validation.cmake</x:v>
      </x:c>
      <x:c r="L129" s="5" t="str">
        <x:v>HiTEKS security + Tespro platform</x:v>
      </x:c>
      <x:c r="M129" s="5" t="str">
        <x:v>Existing implementation area; requirement acceptance open</x:v>
      </x:c>
      <x:c r="N129" s="5" t="str">
        <x:v>Not demonstrated</x:v>
      </x:c>
      <x:c r="O129" s="5" t="str">
        <x:v>Frozen-build algorithm/policy tests, key handling review and negative negotiation evidence. Verify: Do not send application data during initial handshake.</x:v>
      </x:c>
      <x:c r="P129" s="10" t="str"/>
      <x:c r="Q129" s="10" t="str">
        <x:v>Open</x:v>
      </x:c>
      <x:c r="R129" s="10" t="str"/>
      <x:c r="S129" s="10" t="str"/>
      <x:c r="T129" s="10" t="str"/>
      <x:c r="U129" s="5" t="str">
        <x:f>IF(Q129="Closed",IF(AND(R129&lt;&gt;"",S129&lt;&gt;""),"Closed recorded","Missing evidence/reviewer"),IF(Q129="N/A approved",IF(AND(T129&lt;&gt;"",S129&lt;&gt;""),"N/A recorded","Missing applicability approval"),"Open"))</x:f>
        <x:v>Open</x:v>
      </x:c>
      <x:c r="V129" s="5" t="str">
        <x:v>Normativa/EN IEC 62351-3-2023.pdf</x:v>
      </x:c>
      <x:c r="W129" s="5" t="str"/>
    </x:row>
    <x:row r="130" ht="36" customHeight="1">
      <x:c r="A130" s="5" t="str">
        <x:v>TLS-13-HS-02-02</x:v>
      </x:c>
      <x:c r="B130" s="5" t="str">
        <x:v>13-HS-02</x:v>
      </x:c>
      <x:c r="C130" s="5" t="str">
        <x:v>No early application data</x:v>
      </x:c>
      <x:c r="D130" s="5" t="str">
        <x:v>Do not use0-RTT/early_data</x:v>
      </x:c>
      <x:c r="E130" s="5" t="str">
        <x:v>Prohibited</x:v>
      </x:c>
      <x:c r="F130" s="5" t="str">
        <x:v>TLS1.3 support selected</x:v>
      </x:c>
      <x:c r="G130" s="5" t="str"/>
      <x:c r="H130" s="5" t="str">
        <x:v>8.3.2;8.8.11</x:v>
      </x:c>
      <x:c r="I130" s="5" t="str">
        <x:v>39,46</x:v>
      </x:c>
      <x:c r="J130" s="5" t="str">
        <x:v>31,38</x:v>
      </x:c>
      <x:c r="K130" s="5" t="str">
        <x:v>apps/ccli/third_party/libiec61850/hal/tls/mbedtls3; adapters/iec61850_mms/mms_adapter.cpp; adapters/iec60870_104/iec104_tls.cpp; cmake/tls_allowlist_validation.cmake</x:v>
      </x:c>
      <x:c r="L130" s="5" t="str">
        <x:v>HiTEKS security + Tespro platform</x:v>
      </x:c>
      <x:c r="M130" s="5" t="str">
        <x:v>Existing implementation area; requirement acceptance open</x:v>
      </x:c>
      <x:c r="N130" s="5" t="str">
        <x:v>Not demonstrated</x:v>
      </x:c>
      <x:c r="O130" s="5" t="str">
        <x:v>Frozen-build algorithm/policy tests, key handling review and negative negotiation evidence. Verify: Do not use0-RTT/early_data.</x:v>
      </x:c>
      <x:c r="P130" s="10" t="str"/>
      <x:c r="Q130" s="10" t="str">
        <x:v>Open</x:v>
      </x:c>
      <x:c r="R130" s="10" t="str"/>
      <x:c r="S130" s="10" t="str"/>
      <x:c r="T130" s="10" t="str"/>
      <x:c r="U130" s="5" t="str">
        <x:f>IF(Q130="Closed",IF(AND(R130&lt;&gt;"",S130&lt;&gt;""),"Closed recorded","Missing evidence/reviewer"),IF(Q130="N/A approved",IF(AND(T130&lt;&gt;"",S130&lt;&gt;""),"N/A recorded","Missing applicability approval"),"Open"))</x:f>
        <x:v>Open</x:v>
      </x:c>
      <x:c r="V130" s="5" t="str">
        <x:v>Normativa/EN IEC 62351-3-2023.pdf</x:v>
      </x:c>
      <x:c r="W130" s="5" t="str"/>
    </x:row>
    <x:row r="131" ht="36" customHeight="1">
      <x:c r="A131" s="5" t="str">
        <x:v>TLS-13-HS-02-03</x:v>
      </x:c>
      <x:c r="B131" s="5" t="str">
        <x:v>13-HS-02</x:v>
      </x:c>
      <x:c r="C131" s="5" t="str">
        <x:v>No early application data</x:v>
      </x:c>
      <x:c r="D131" s="5" t="str">
        <x:v>Server ignores early application data until handshake completion</x:v>
      </x:c>
      <x:c r="E131" s="5" t="str">
        <x:v>Prohibited</x:v>
      </x:c>
      <x:c r="F131" s="5" t="str">
        <x:v>TLS1.3 support selected</x:v>
      </x:c>
      <x:c r="G131" s="5" t="str"/>
      <x:c r="H131" s="5" t="str">
        <x:v>8.3.2;8.8.11</x:v>
      </x:c>
      <x:c r="I131" s="5" t="str">
        <x:v>39,46</x:v>
      </x:c>
      <x:c r="J131" s="5" t="str">
        <x:v>31,38</x:v>
      </x:c>
      <x:c r="K131" s="5" t="str">
        <x:v>apps/ccli/third_party/libiec61850/hal/tls/mbedtls3; adapters/iec61850_mms/mms_adapter.cpp; adapters/iec60870_104/iec104_tls.cpp; cmake/tls_allowlist_validation.cmake</x:v>
      </x:c>
      <x:c r="L131" s="5" t="str">
        <x:v>HiTEKS security + Tespro platform</x:v>
      </x:c>
      <x:c r="M131" s="5" t="str">
        <x:v>Existing implementation area; requirement acceptance open</x:v>
      </x:c>
      <x:c r="N131" s="5" t="str">
        <x:v>Not demonstrated</x:v>
      </x:c>
      <x:c r="O131" s="5" t="str">
        <x:v>Frozen-build algorithm/policy tests, key handling review and negative negotiation evidence. Verify: Server ignores early application data until handshake completion.</x:v>
      </x:c>
      <x:c r="P131" s="10" t="str"/>
      <x:c r="Q131" s="10" t="str">
        <x:v>Open</x:v>
      </x:c>
      <x:c r="R131" s="10" t="str"/>
      <x:c r="S131" s="10" t="str"/>
      <x:c r="T131" s="10" t="str"/>
      <x:c r="U131" s="5" t="str">
        <x:f>IF(Q131="Closed",IF(AND(R131&lt;&gt;"",S131&lt;&gt;""),"Closed recorded","Missing evidence/reviewer"),IF(Q131="N/A approved",IF(AND(T131&lt;&gt;"",S131&lt;&gt;""),"N/A recorded","Missing applicability approval"),"Open"))</x:f>
        <x:v>Open</x:v>
      </x:c>
      <x:c r="V131" s="5" t="str">
        <x:v>Normativa/EN IEC 62351-3-2023.pdf</x:v>
      </x:c>
      <x:c r="W131" s="5" t="str"/>
    </x:row>
    <x:row r="132" ht="36" customHeight="1">
      <x:c r="A132" s="5" t="str">
        <x:v>TLS-13-HS-02-04</x:v>
      </x:c>
      <x:c r="B132" s="5" t="str">
        <x:v>13-HS-02</x:v>
      </x:c>
      <x:c r="C132" s="5" t="str">
        <x:v>No early application data</x:v>
      </x:c>
      <x:c r="D132" s="5" t="str">
        <x:v>Warn on detected handshake early data</x:v>
      </x:c>
      <x:c r="E132" s="5" t="str">
        <x:v>Prohibited</x:v>
      </x:c>
      <x:c r="F132" s="5" t="str">
        <x:v>TLS1.3 support selected</x:v>
      </x:c>
      <x:c r="G132" s="5" t="str"/>
      <x:c r="H132" s="5" t="str">
        <x:v>8.3.2;8.8.11</x:v>
      </x:c>
      <x:c r="I132" s="5" t="str">
        <x:v>39,46</x:v>
      </x:c>
      <x:c r="J132" s="5" t="str">
        <x:v>31,38</x:v>
      </x:c>
      <x:c r="K132" s="5" t="str">
        <x:v>apps/ccli/third_party/libiec61850/hal/tls/mbedtls3; adapters/iec61850_mms/mms_adapter.cpp; adapters/iec60870_104/iec104_tls.cpp; cmake/tls_allowlist_validation.cmake</x:v>
      </x:c>
      <x:c r="L132" s="5" t="str">
        <x:v>HiTEKS security + Tespro platform</x:v>
      </x:c>
      <x:c r="M132" s="5" t="str">
        <x:v>Existing implementation area; requirement acceptance open</x:v>
      </x:c>
      <x:c r="N132" s="5" t="str">
        <x:v>Not demonstrated</x:v>
      </x:c>
      <x:c r="O132" s="5" t="str">
        <x:v>Frozen-build algorithm/policy tests, key handling review and negative negotiation evidence. Verify: Warn on detected handshake early data.</x:v>
      </x:c>
      <x:c r="P132" s="10" t="str"/>
      <x:c r="Q132" s="10" t="str">
        <x:v>Open</x:v>
      </x:c>
      <x:c r="R132" s="10" t="str"/>
      <x:c r="S132" s="10" t="str"/>
      <x:c r="T132" s="10" t="str"/>
      <x:c r="U132" s="5" t="str">
        <x:f>IF(Q132="Closed",IF(AND(R132&lt;&gt;"",S132&lt;&gt;""),"Closed recorded","Missing evidence/reviewer"),IF(Q132="N/A approved",IF(AND(T132&lt;&gt;"",S132&lt;&gt;""),"N/A recorded","Missing applicability approval"),"Open"))</x:f>
        <x:v>Open</x:v>
      </x:c>
      <x:c r="V132" s="5" t="str">
        <x:v>Normativa/EN IEC 62351-3-2023.pdf</x:v>
      </x:c>
      <x:c r="W132" s="5" t="str"/>
    </x:row>
    <x:row r="133" ht="36" customHeight="1">
      <x:c r="A133" s="5" t="str">
        <x:v>TLS-13-KEY-01-01</x:v>
      </x:c>
      <x:c r="B133" s="5" t="str">
        <x:v>13-KEY-01</x:v>
      </x:c>
      <x:c r="C133" s="5" t="str">
        <x:v>KeyUpdate</x:v>
      </x:c>
      <x:c r="D133" s="5" t="str">
        <x:v>Expose configurable active-session key-update interval</x:v>
      </x:c>
      <x:c r="E133" s="5" t="str">
        <x:v>Conditional mandatory</x:v>
      </x:c>
      <x:c r="F133" s="5" t="str">
        <x:v>TLS1.3 support selected</x:v>
      </x:c>
      <x:c r="G133" s="5" t="str"/>
      <x:c r="H133" s="5" t="str">
        <x:v>8.4</x:v>
      </x:c>
      <x:c r="I133" s="5" t="str">
        <x:v>41</x:v>
      </x:c>
      <x:c r="J133" s="5" t="str">
        <x:v>33</x:v>
      </x:c>
      <x:c r="K133" s="5" t="str">
        <x:v>apps/ccli/third_party/libiec61850/hal/tls/mbedtls3; adapters/iec61850_mms/mms_adapter.cpp; adapters/iec60870_104/iec104_tls.cpp; cmake/tls_allowlist_validation.cmake</x:v>
      </x:c>
      <x:c r="L133" s="5" t="str">
        <x:v>HiTEKS security + Tespro platform</x:v>
      </x:c>
      <x:c r="M133" s="5" t="str">
        <x:v>Existing implementation area; requirement acceptance open</x:v>
      </x:c>
      <x:c r="N133" s="5" t="str">
        <x:v>Not demonstrated</x:v>
      </x:c>
      <x:c r="O133" s="5" t="str">
        <x:v>Frozen-build algorithm/policy tests, key handling review and negative negotiation evidence. Verify: Expose configurable active-session key-update interval.</x:v>
      </x:c>
      <x:c r="P133" s="10" t="str"/>
      <x:c r="Q133" s="10" t="str">
        <x:v>Open</x:v>
      </x:c>
      <x:c r="R133" s="10" t="str"/>
      <x:c r="S133" s="10" t="str"/>
      <x:c r="T133" s="10" t="str"/>
      <x:c r="U133" s="5" t="str">
        <x:f>IF(Q133="Closed",IF(AND(R133&lt;&gt;"",S133&lt;&gt;""),"Closed recorded","Missing evidence/reviewer"),IF(Q133="N/A approved",IF(AND(T133&lt;&gt;"",S133&lt;&gt;""),"N/A recorded","Missing applicability approval"),"Open"))</x:f>
        <x:v>Open</x:v>
      </x:c>
      <x:c r="V133" s="5" t="str">
        <x:v>Normativa/EN IEC 62351-3-2023.pdf</x:v>
      </x:c>
      <x:c r="W133" s="5" t="str"/>
    </x:row>
    <x:row r="134" ht="36" customHeight="1">
      <x:c r="A134" s="5" t="str">
        <x:v>TLS-13-KEY-01-02</x:v>
      </x:c>
      <x:c r="B134" s="5" t="str">
        <x:v>13-KEY-01</x:v>
      </x:c>
      <x:c r="C134" s="5" t="str">
        <x:v>KeyUpdate</x:v>
      </x:c>
      <x:c r="D134" s="5" t="str">
        <x:v>Send KeyUpdate with update_requested</x:v>
      </x:c>
      <x:c r="E134" s="5" t="str">
        <x:v>Conditional mandatory</x:v>
      </x:c>
      <x:c r="F134" s="5" t="str">
        <x:v>TLS1.3 support selected</x:v>
      </x:c>
      <x:c r="G134" s="5" t="str"/>
      <x:c r="H134" s="5" t="str">
        <x:v>8.4</x:v>
      </x:c>
      <x:c r="I134" s="5" t="str">
        <x:v>41</x:v>
      </x:c>
      <x:c r="J134" s="5" t="str">
        <x:v>33</x:v>
      </x:c>
      <x:c r="K134" s="5" t="str">
        <x:v>apps/ccli/third_party/libiec61850/hal/tls/mbedtls3; adapters/iec61850_mms/mms_adapter.cpp; adapters/iec60870_104/iec104_tls.cpp; cmake/tls_allowlist_validation.cmake</x:v>
      </x:c>
      <x:c r="L134" s="5" t="str">
        <x:v>HiTEKS security + Tespro platform</x:v>
      </x:c>
      <x:c r="M134" s="5" t="str">
        <x:v>Existing implementation area; requirement acceptance open</x:v>
      </x:c>
      <x:c r="N134" s="5" t="str">
        <x:v>Not demonstrated</x:v>
      </x:c>
      <x:c r="O134" s="5" t="str">
        <x:v>Frozen-build algorithm/policy tests, key handling review and negative negotiation evidence. Verify: Send KeyUpdate with update_requested.</x:v>
      </x:c>
      <x:c r="P134" s="10" t="str"/>
      <x:c r="Q134" s="10" t="str">
        <x:v>Open</x:v>
      </x:c>
      <x:c r="R134" s="10" t="str"/>
      <x:c r="S134" s="10" t="str"/>
      <x:c r="T134" s="10" t="str"/>
      <x:c r="U134" s="5" t="str">
        <x:f>IF(Q134="Closed",IF(AND(R134&lt;&gt;"",S134&lt;&gt;""),"Closed recorded","Missing evidence/reviewer"),IF(Q134="N/A approved",IF(AND(T134&lt;&gt;"",S134&lt;&gt;""),"N/A recorded","Missing applicability approval"),"Open"))</x:f>
        <x:v>Open</x:v>
      </x:c>
      <x:c r="V134" s="5" t="str">
        <x:v>Normativa/EN IEC 62351-3-2023.pdf</x:v>
      </x:c>
      <x:c r="W134" s="5" t="str"/>
    </x:row>
    <x:row r="135" ht="36" customHeight="1">
      <x:c r="A135" s="5" t="str">
        <x:v>TLS-13-KEY-01-03</x:v>
      </x:c>
      <x:c r="B135" s="5" t="str">
        <x:v>13-KEY-01</x:v>
      </x:c>
      <x:c r="C135" s="5" t="str">
        <x:v>KeyUpdate</x:v>
      </x:c>
      <x:c r="D135" s="5" t="str">
        <x:v>Receiver updates its sending keys and replies update_not_requested</x:v>
      </x:c>
      <x:c r="E135" s="5" t="str">
        <x:v>Conditional mandatory</x:v>
      </x:c>
      <x:c r="F135" s="5" t="str">
        <x:v>TLS1.3 support selected</x:v>
      </x:c>
      <x:c r="G135" s="5" t="str"/>
      <x:c r="H135" s="5" t="str">
        <x:v>8.4</x:v>
      </x:c>
      <x:c r="I135" s="5" t="str">
        <x:v>41</x:v>
      </x:c>
      <x:c r="J135" s="5" t="str">
        <x:v>33</x:v>
      </x:c>
      <x:c r="K135" s="5" t="str">
        <x:v>apps/ccli/third_party/libiec61850/hal/tls/mbedtls3; adapters/iec61850_mms/mms_adapter.cpp; adapters/iec60870_104/iec104_tls.cpp; cmake/tls_allowlist_validation.cmake</x:v>
      </x:c>
      <x:c r="L135" s="5" t="str">
        <x:v>HiTEKS security + Tespro platform</x:v>
      </x:c>
      <x:c r="M135" s="5" t="str">
        <x:v>Existing implementation area; requirement acceptance open</x:v>
      </x:c>
      <x:c r="N135" s="5" t="str">
        <x:v>Not demonstrated</x:v>
      </x:c>
      <x:c r="O135" s="5" t="str">
        <x:v>Frozen-build algorithm/policy tests, key handling review and negative negotiation evidence. Verify: Receiver updates its sending keys and replies update_not_requested.</x:v>
      </x:c>
      <x:c r="P135" s="10" t="str"/>
      <x:c r="Q135" s="10" t="str">
        <x:v>Open</x:v>
      </x:c>
      <x:c r="R135" s="10" t="str"/>
      <x:c r="S135" s="10" t="str"/>
      <x:c r="T135" s="10" t="str"/>
      <x:c r="U135" s="5" t="str">
        <x:f>IF(Q135="Closed",IF(AND(R135&lt;&gt;"",S135&lt;&gt;""),"Closed recorded","Missing evidence/reviewer"),IF(Q135="N/A approved",IF(AND(T135&lt;&gt;"",S135&lt;&gt;""),"N/A recorded","Missing applicability approval"),"Open"))</x:f>
        <x:v>Open</x:v>
      </x:c>
      <x:c r="V135" s="5" t="str">
        <x:v>Normativa/EN IEC 62351-3-2023.pdf</x:v>
      </x:c>
      <x:c r="W135" s="5" t="str"/>
    </x:row>
    <x:row r="136" ht="36" customHeight="1">
      <x:c r="A136" s="5" t="str">
        <x:v>TLS-13-KEY-01-04</x:v>
      </x:c>
      <x:c r="B136" s="5" t="str">
        <x:v>13-KEY-01</x:v>
      </x:c>
      <x:c r="C136" s="5" t="str">
        <x:v>KeyUpdate</x:v>
      </x:c>
      <x:c r="D136" s="5" t="str">
        <x:v>Terminate when requested reciprocal update is missing</x:v>
      </x:c>
      <x:c r="E136" s="5" t="str">
        <x:v>Conditional mandatory</x:v>
      </x:c>
      <x:c r="F136" s="5" t="str">
        <x:v>TLS1.3 support selected</x:v>
      </x:c>
      <x:c r="G136" s="5" t="str"/>
      <x:c r="H136" s="5" t="str">
        <x:v>8.4</x:v>
      </x:c>
      <x:c r="I136" s="5" t="str">
        <x:v>41</x:v>
      </x:c>
      <x:c r="J136" s="5" t="str">
        <x:v>33</x:v>
      </x:c>
      <x:c r="K136" s="5" t="str">
        <x:v>apps/ccli/third_party/libiec61850/hal/tls/mbedtls3; adapters/iec61850_mms/mms_adapter.cpp; adapters/iec60870_104/iec104_tls.cpp; cmake/tls_allowlist_validation.cmake</x:v>
      </x:c>
      <x:c r="L136" s="5" t="str">
        <x:v>HiTEKS security + Tespro platform</x:v>
      </x:c>
      <x:c r="M136" s="5" t="str">
        <x:v>Existing implementation area; requirement acceptance open</x:v>
      </x:c>
      <x:c r="N136" s="5" t="str">
        <x:v>Not demonstrated</x:v>
      </x:c>
      <x:c r="O136" s="5" t="str">
        <x:v>Frozen-build algorithm/policy tests, key handling review and negative negotiation evidence. Verify: Terminate when requested reciprocal update is missing.</x:v>
      </x:c>
      <x:c r="P136" s="10" t="str"/>
      <x:c r="Q136" s="10" t="str">
        <x:v>Open</x:v>
      </x:c>
      <x:c r="R136" s="10" t="str"/>
      <x:c r="S136" s="10" t="str"/>
      <x:c r="T136" s="10" t="str"/>
      <x:c r="U136" s="5" t="str">
        <x:f>IF(Q136="Closed",IF(AND(R136&lt;&gt;"",S136&lt;&gt;""),"Closed recorded","Missing evidence/reviewer"),IF(Q136="N/A approved",IF(AND(T136&lt;&gt;"",S136&lt;&gt;""),"N/A recorded","Missing applicability approval"),"Open"))</x:f>
        <x:v>Open</x:v>
      </x:c>
      <x:c r="V136" s="5" t="str">
        <x:v>Normativa/EN IEC 62351-3-2023.pdf</x:v>
      </x:c>
      <x:c r="W136" s="5" t="str"/>
    </x:row>
    <x:row r="137" ht="36" customHeight="1">
      <x:c r="A137" s="5" t="str">
        <x:v>TLS-13-KEY-01-05</x:v>
      </x:c>
      <x:c r="B137" s="5" t="str">
        <x:v>13-KEY-01</x:v>
      </x:c>
      <x:c r="C137" s="5" t="str">
        <x:v>KeyUpdate</x:v>
      </x:c>
      <x:c r="D137" s="5" t="str">
        <x:v>Raise session-key-update-expiry alarm</x:v>
      </x:c>
      <x:c r="E137" s="5" t="str">
        <x:v>Conditional mandatory</x:v>
      </x:c>
      <x:c r="F137" s="5" t="str">
        <x:v>TLS1.3 support selected</x:v>
      </x:c>
      <x:c r="G137" s="5" t="str"/>
      <x:c r="H137" s="5" t="str">
        <x:v>8.4</x:v>
      </x:c>
      <x:c r="I137" s="5" t="str">
        <x:v>41</x:v>
      </x:c>
      <x:c r="J137" s="5" t="str">
        <x:v>33</x:v>
      </x:c>
      <x:c r="K137" s="5" t="str">
        <x:v>apps/ccli/third_party/libiec61850/hal/tls/mbedtls3; adapters/iec61850_mms/mms_adapter.cpp; adapters/iec60870_104/iec104_tls.cpp; cmake/tls_allowlist_validation.cmake</x:v>
      </x:c>
      <x:c r="L137" s="5" t="str">
        <x:v>HiTEKS security + Tespro platform</x:v>
      </x:c>
      <x:c r="M137" s="5" t="str">
        <x:v>Existing implementation area; requirement acceptance open</x:v>
      </x:c>
      <x:c r="N137" s="5" t="str">
        <x:v>Not demonstrated</x:v>
      </x:c>
      <x:c r="O137" s="5" t="str">
        <x:v>Frozen-build algorithm/policy tests, key handling review and negative negotiation evidence. Verify: Raise session-key-update-expiry alarm.</x:v>
      </x:c>
      <x:c r="P137" s="10" t="str"/>
      <x:c r="Q137" s="10" t="str">
        <x:v>Open</x:v>
      </x:c>
      <x:c r="R137" s="10" t="str"/>
      <x:c r="S137" s="10" t="str"/>
      <x:c r="T137" s="10" t="str"/>
      <x:c r="U137" s="5" t="str">
        <x:f>IF(Q137="Closed",IF(AND(R137&lt;&gt;"",S137&lt;&gt;""),"Closed recorded","Missing evidence/reviewer"),IF(Q137="N/A approved",IF(AND(T137&lt;&gt;"",S137&lt;&gt;""),"N/A recorded","Missing applicability approval"),"Open"))</x:f>
        <x:v>Open</x:v>
      </x:c>
      <x:c r="V137" s="5" t="str">
        <x:v>Normativa/EN IEC 62351-3-2023.pdf</x:v>
      </x:c>
      <x:c r="W137" s="5" t="str"/>
    </x:row>
    <x:row r="138" ht="36" customHeight="1">
      <x:c r="A138" s="5" t="str">
        <x:v>TLS-13-TICKET-01-01</x:v>
      </x:c>
      <x:c r="B138" s="5" t="str">
        <x:v>13-TICKET-01</x:v>
      </x:c>
      <x:c r="C138" s="5" t="str">
        <x:v>NewSessionTicket/resumption</x:v>
      </x:c>
      <x:c r="D138" s="5" t="str">
        <x:v>Support NewSessionTicket post-handshake message</x:v>
      </x:c>
      <x:c r="E138" s="5" t="str">
        <x:v>Conditional mandatory</x:v>
      </x:c>
      <x:c r="F138" s="5" t="str">
        <x:v>TLS1.3 support selected</x:v>
      </x:c>
      <x:c r="G138" s="5" t="str"/>
      <x:c r="H138" s="5" t="str">
        <x:v>8.5;8.6</x:v>
      </x:c>
      <x:c r="I138" s="5" t="str">
        <x:v>42</x:v>
      </x:c>
      <x:c r="J138" s="5" t="str">
        <x:v>34</x:v>
      </x:c>
      <x:c r="K138" s="5" t="str">
        <x:v>apps/ccli/third_party/libiec61850/hal/tls/mbedtls3; adapters/iec61850_mms/mms_adapter.cpp; adapters/iec60870_104/iec104_tls.cpp; cmake/tls_allowlist_validation.cmake</x:v>
      </x:c>
      <x:c r="L138" s="5" t="str">
        <x:v>HiTEKS security + Tespro platform</x:v>
      </x:c>
      <x:c r="M138" s="5" t="str">
        <x:v>Existing implementation area; requirement acceptance open</x:v>
      </x:c>
      <x:c r="N138" s="5" t="str">
        <x:v>Not demonstrated</x:v>
      </x:c>
      <x:c r="O138" s="5" t="str">
        <x:v>Frozen-build algorithm/policy tests, key handling review and negative negotiation evidence. Verify: Support NewSessionTicket post-handshake message.</x:v>
      </x:c>
      <x:c r="P138" s="10" t="str"/>
      <x:c r="Q138" s="10" t="str">
        <x:v>Open</x:v>
      </x:c>
      <x:c r="R138" s="10" t="str"/>
      <x:c r="S138" s="10" t="str"/>
      <x:c r="T138" s="10" t="str"/>
      <x:c r="U138" s="5" t="str">
        <x:f>IF(Q138="Closed",IF(AND(R138&lt;&gt;"",S138&lt;&gt;""),"Closed recorded","Missing evidence/reviewer"),IF(Q138="N/A approved",IF(AND(T138&lt;&gt;"",S138&lt;&gt;""),"N/A recorded","Missing applicability approval"),"Open"))</x:f>
        <x:v>Open</x:v>
      </x:c>
      <x:c r="V138" s="5" t="str">
        <x:v>Normativa/EN IEC 62351-3-2023.pdf</x:v>
      </x:c>
      <x:c r="W138" s="5" t="str"/>
    </x:row>
    <x:row r="139" ht="36" customHeight="1">
      <x:c r="A139" s="5" t="str">
        <x:v>TLS-13-TICKET-01-02</x:v>
      </x:c>
      <x:c r="B139" s="5" t="str">
        <x:v>13-TICKET-01</x:v>
      </x:c>
      <x:c r="C139" s="5" t="str">
        <x:v>NewSessionTicket/resumption</x:v>
      </x:c>
      <x:c r="D139" s="5" t="str">
        <x:v>Client uses issued ticket through pre_shared_key in future handshakes</x:v>
      </x:c>
      <x:c r="E139" s="5" t="str">
        <x:v>Conditional mandatory</x:v>
      </x:c>
      <x:c r="F139" s="5" t="str">
        <x:v>TLS1.3 support selected</x:v>
      </x:c>
      <x:c r="G139" s="5" t="str"/>
      <x:c r="H139" s="5" t="str">
        <x:v>8.5;8.6</x:v>
      </x:c>
      <x:c r="I139" s="5" t="str">
        <x:v>42</x:v>
      </x:c>
      <x:c r="J139" s="5" t="str">
        <x:v>34</x:v>
      </x:c>
      <x:c r="K139" s="5" t="str">
        <x:v>apps/ccli/third_party/libiec61850/hal/tls/mbedtls3; adapters/iec61850_mms/mms_adapter.cpp; adapters/iec60870_104/iec104_tls.cpp; cmake/tls_allowlist_validation.cmake</x:v>
      </x:c>
      <x:c r="L139" s="5" t="str">
        <x:v>HiTEKS security + Tespro platform</x:v>
      </x:c>
      <x:c r="M139" s="5" t="str">
        <x:v>Existing implementation area; requirement acceptance open</x:v>
      </x:c>
      <x:c r="N139" s="5" t="str">
        <x:v>Not demonstrated</x:v>
      </x:c>
      <x:c r="O139" s="5" t="str">
        <x:v>Frozen-build algorithm/policy tests, key handling review and negative negotiation evidence. Verify: Client uses issued ticket through pre_shared_key in future handshakes.</x:v>
      </x:c>
      <x:c r="P139" s="10" t="str"/>
      <x:c r="Q139" s="10" t="str">
        <x:v>Open</x:v>
      </x:c>
      <x:c r="R139" s="10" t="str"/>
      <x:c r="S139" s="10" t="str"/>
      <x:c r="T139" s="10" t="str"/>
      <x:c r="U139" s="5" t="str">
        <x:f>IF(Q139="Closed",IF(AND(R139&lt;&gt;"",S139&lt;&gt;""),"Closed recorded","Missing evidence/reviewer"),IF(Q139="N/A approved",IF(AND(T139&lt;&gt;"",S139&lt;&gt;""),"N/A recorded","Missing applicability approval"),"Open"))</x:f>
        <x:v>Open</x:v>
      </x:c>
      <x:c r="V139" s="5" t="str">
        <x:v>Normativa/EN IEC 62351-3-2023.pdf</x:v>
      </x:c>
      <x:c r="W139" s="5" t="str"/>
    </x:row>
    <x:row r="140" ht="36" customHeight="1">
      <x:c r="A140" s="5" t="str">
        <x:v>TLS-13-TICKET-01-03</x:v>
      </x:c>
      <x:c r="B140" s="5" t="str">
        <x:v>13-TICKET-01</x:v>
      </x:c>
      <x:c r="C140" s="5" t="str">
        <x:v>NewSessionTicket/resumption</x:v>
      </x:c>
      <x:c r="D140" s="5" t="str">
        <x:v>Limit ticket validity to24 hours</x:v>
      </x:c>
      <x:c r="E140" s="5" t="str">
        <x:v>Conditional mandatory</x:v>
      </x:c>
      <x:c r="F140" s="5" t="str">
        <x:v>TLS1.3 support selected</x:v>
      </x:c>
      <x:c r="G140" s="5" t="str"/>
      <x:c r="H140" s="5" t="str">
        <x:v>8.5;8.6</x:v>
      </x:c>
      <x:c r="I140" s="5" t="str">
        <x:v>42</x:v>
      </x:c>
      <x:c r="J140" s="5" t="str">
        <x:v>34</x:v>
      </x:c>
      <x:c r="K140" s="5" t="str">
        <x:v>apps/ccli/third_party/libiec61850/hal/tls/mbedtls3; adapters/iec61850_mms/mms_adapter.cpp; adapters/iec60870_104/iec104_tls.cpp; cmake/tls_allowlist_validation.cmake</x:v>
      </x:c>
      <x:c r="L140" s="5" t="str">
        <x:v>HiTEKS security + Tespro platform</x:v>
      </x:c>
      <x:c r="M140" s="5" t="str">
        <x:v>Existing implementation area; requirement acceptance open</x:v>
      </x:c>
      <x:c r="N140" s="5" t="str">
        <x:v>Not demonstrated</x:v>
      </x:c>
      <x:c r="O140" s="5" t="str">
        <x:v>Frozen-build algorithm/policy tests, key handling review and negative negotiation evidence. Verify: Limit ticket validity to24 hours.</x:v>
      </x:c>
      <x:c r="P140" s="10" t="str"/>
      <x:c r="Q140" s="10" t="str">
        <x:v>Open</x:v>
      </x:c>
      <x:c r="R140" s="10" t="str"/>
      <x:c r="S140" s="10" t="str"/>
      <x:c r="T140" s="10" t="str"/>
      <x:c r="U140" s="5" t="str">
        <x:f>IF(Q140="Closed",IF(AND(R140&lt;&gt;"",S140&lt;&gt;""),"Closed recorded","Missing evidence/reviewer"),IF(Q140="N/A approved",IF(AND(T140&lt;&gt;"",S140&lt;&gt;""),"N/A recorded","Missing applicability approval"),"Open"))</x:f>
        <x:v>Open</x:v>
      </x:c>
      <x:c r="V140" s="5" t="str">
        <x:v>Normativa/EN IEC 62351-3-2023.pdf</x:v>
      </x:c>
      <x:c r="W140" s="5" t="str"/>
    </x:row>
    <x:row r="141" ht="36" customHeight="1">
      <x:c r="A141" s="5" t="str">
        <x:v>TLS-13-TICKET-01-04</x:v>
      </x:c>
      <x:c r="B141" s="5" t="str">
        <x:v>13-TICKET-01</x:v>
      </x:c>
      <x:c r="C141" s="5" t="str">
        <x:v>NewSessionTicket/resumption</x:v>
      </x:c>
      <x:c r="D141" s="5" t="str">
        <x:v>Define terminated-session resumption parameters using operator risk assessment</x:v>
      </x:c>
      <x:c r="E141" s="5" t="str">
        <x:v>Conditional mandatory</x:v>
      </x:c>
      <x:c r="F141" s="5" t="str">
        <x:v>TLS1.3 support selected</x:v>
      </x:c>
      <x:c r="G141" s="5" t="str"/>
      <x:c r="H141" s="5" t="str">
        <x:v>8.5;8.6</x:v>
      </x:c>
      <x:c r="I141" s="5" t="str">
        <x:v>42</x:v>
      </x:c>
      <x:c r="J141" s="5" t="str">
        <x:v>34</x:v>
      </x:c>
      <x:c r="K141" s="5" t="str">
        <x:v>apps/ccli/third_party/libiec61850/hal/tls/mbedtls3; adapters/iec61850_mms/mms_adapter.cpp; adapters/iec60870_104/iec104_tls.cpp; cmake/tls_allowlist_validation.cmake</x:v>
      </x:c>
      <x:c r="L141" s="5" t="str">
        <x:v>HiTEKS security + Tespro platform</x:v>
      </x:c>
      <x:c r="M141" s="5" t="str">
        <x:v>Existing implementation area; requirement acceptance open</x:v>
      </x:c>
      <x:c r="N141" s="5" t="str">
        <x:v>Not demonstrated</x:v>
      </x:c>
      <x:c r="O141" s="5" t="str">
        <x:v>Frozen-build algorithm/policy tests, key handling review and negative negotiation evidence. Verify: Define terminated-session resumption parameters using operator risk assessment.</x:v>
      </x:c>
      <x:c r="P141" s="10" t="str"/>
      <x:c r="Q141" s="10" t="str">
        <x:v>Open</x:v>
      </x:c>
      <x:c r="R141" s="10" t="str"/>
      <x:c r="S141" s="10" t="str"/>
      <x:c r="T141" s="10" t="str"/>
      <x:c r="U141" s="5" t="str">
        <x:f>IF(Q141="Closed",IF(AND(R141&lt;&gt;"",S141&lt;&gt;""),"Closed recorded","Missing evidence/reviewer"),IF(Q141="N/A approved",IF(AND(T141&lt;&gt;"",S141&lt;&gt;""),"N/A recorded","Missing applicability approval"),"Open"))</x:f>
        <x:v>Open</x:v>
      </x:c>
      <x:c r="V141" s="5" t="str">
        <x:v>Normativa/EN IEC 62351-3-2023.pdf</x:v>
      </x:c>
      <x:c r="W141" s="5" t="str"/>
    </x:row>
    <x:row r="142" ht="36" customHeight="1">
      <x:c r="A142" s="5" t="str">
        <x:v>TLS-13-TICKET-01-05</x:v>
      </x:c>
      <x:c r="B142" s="5" t="str">
        <x:v>13-TICKET-01</x:v>
      </x:c>
      <x:c r="C142" s="5" t="str">
        <x:v>NewSessionTicket/resumption</x:v>
      </x:c>
      <x:c r="D142" s="5" t="str">
        <x:v>Support resumption and use only psk_dhe_ke</x:v>
      </x:c>
      <x:c r="E142" s="5" t="str">
        <x:v>Conditional mandatory</x:v>
      </x:c>
      <x:c r="F142" s="5" t="str">
        <x:v>TLS1.3 support selected</x:v>
      </x:c>
      <x:c r="G142" s="5" t="str"/>
      <x:c r="H142" s="5" t="str">
        <x:v>8.5;8.6</x:v>
      </x:c>
      <x:c r="I142" s="5" t="str">
        <x:v>42</x:v>
      </x:c>
      <x:c r="J142" s="5" t="str">
        <x:v>34</x:v>
      </x:c>
      <x:c r="K142" s="5" t="str">
        <x:v>apps/ccli/third_party/libiec61850/hal/tls/mbedtls3; adapters/iec61850_mms/mms_adapter.cpp; adapters/iec60870_104/iec104_tls.cpp; cmake/tls_allowlist_validation.cmake</x:v>
      </x:c>
      <x:c r="L142" s="5" t="str">
        <x:v>HiTEKS security + Tespro platform</x:v>
      </x:c>
      <x:c r="M142" s="5" t="str">
        <x:v>Existing implementation area; requirement acceptance open</x:v>
      </x:c>
      <x:c r="N142" s="5" t="str">
        <x:v>Not demonstrated</x:v>
      </x:c>
      <x:c r="O142" s="5" t="str">
        <x:v>Frozen-build algorithm/policy tests, key handling review and negative negotiation evidence. Verify: Support resumption and use only psk_dhe_ke.</x:v>
      </x:c>
      <x:c r="P142" s="10" t="str"/>
      <x:c r="Q142" s="10" t="str">
        <x:v>Open</x:v>
      </x:c>
      <x:c r="R142" s="10" t="str"/>
      <x:c r="S142" s="10" t="str"/>
      <x:c r="T142" s="10" t="str"/>
      <x:c r="U142" s="5" t="str">
        <x:f>IF(Q142="Closed",IF(AND(R142&lt;&gt;"",S142&lt;&gt;""),"Closed recorded","Missing evidence/reviewer"),IF(Q142="N/A approved",IF(AND(T142&lt;&gt;"",S142&lt;&gt;""),"N/A recorded","Missing applicability approval"),"Open"))</x:f>
        <x:v>Open</x:v>
      </x:c>
      <x:c r="V142" s="5" t="str">
        <x:v>Normativa/EN IEC 62351-3-2023.pdf</x:v>
      </x:c>
      <x:c r="W142" s="5" t="str"/>
    </x:row>
    <x:row r="143" ht="36" customHeight="1">
      <x:c r="A143" s="5" t="str">
        <x:v>TLS-13-CERT-01-01</x:v>
      </x:c>
      <x:c r="B143" s="5" t="str">
        <x:v>13-CERT-01</x:v>
      </x:c>
      <x:c r="C143" s="5" t="str">
        <x:v>TLS1.3 active validation</x:v>
      </x:c>
      <x:c r="D143" s="5" t="str">
        <x:v>Do not renegotiate an established TLS1.3 session</x:v>
      </x:c>
      <x:c r="E143" s="5" t="str">
        <x:v>Conditional mandatory</x:v>
      </x:c>
      <x:c r="F143" s="5" t="str">
        <x:v>TLS1.3 support selected</x:v>
      </x:c>
      <x:c r="G143" s="5" t="str"/>
      <x:c r="H143" s="5" t="str">
        <x:v>8.7</x:v>
      </x:c>
      <x:c r="I143" s="5" t="str">
        <x:v>42</x:v>
      </x:c>
      <x:c r="J143" s="5" t="str">
        <x:v>34</x:v>
      </x:c>
      <x:c r="K143" s="5" t="str">
        <x:v>apps/ccli/adapters/iec61850_mms/mms_adapter.cpp; mms_rbac_security.cpp; adapters/iec60870_104/iec104_tls.cpp; core/config/ccli_config.hpp</x:v>
      </x:c>
      <x:c r="L143" s="5" t="str">
        <x:v>HiTEKS security/PKI lead</x:v>
      </x:c>
      <x:c r="M143" s="5" t="str">
        <x:v>Existing implementation area; requirement acceptance open</x:v>
      </x:c>
      <x:c r="N143" s="5" t="str">
        <x:v>Not demonstrated</x:v>
      </x:c>
      <x:c r="O143" s="5" t="str">
        <x:v>Positive and negative identity/trust/revocation tests on both claimed protocol endpoints. Verify: Do not renegotiate an established TLS1.3 session.</x:v>
      </x:c>
      <x:c r="P143" s="10" t="str"/>
      <x:c r="Q143" s="10" t="str">
        <x:v>Open</x:v>
      </x:c>
      <x:c r="R143" s="10" t="str"/>
      <x:c r="S143" s="10" t="str"/>
      <x:c r="T143" s="10" t="str"/>
      <x:c r="U143" s="5" t="str">
        <x:f>IF(Q143="Closed",IF(AND(R143&lt;&gt;"",S143&lt;&gt;""),"Closed recorded","Missing evidence/reviewer"),IF(Q143="N/A approved",IF(AND(T143&lt;&gt;"",S143&lt;&gt;""),"N/A recorded","Missing applicability approval"),"Open"))</x:f>
        <x:v>Open</x:v>
      </x:c>
      <x:c r="V143" s="5" t="str">
        <x:v>Normativa/EN IEC 62351-3-2023.pdf</x:v>
      </x:c>
      <x:c r="W143" s="5" t="str"/>
    </x:row>
    <x:row r="144" ht="36" customHeight="1">
      <x:c r="A144" s="5" t="str">
        <x:v>TLS-13-CERT-01-02</x:v>
      </x:c>
      <x:c r="B144" s="5" t="str">
        <x:v>13-CERT-01</x:v>
      </x:c>
      <x:c r="C144" s="5" t="str">
        <x:v>TLS1.3 active validation</x:v>
      </x:c>
      <x:c r="D144" s="5" t="str">
        <x:v>Terminate an established connection receiving a new ClientHello</x:v>
      </x:c>
      <x:c r="E144" s="5" t="str">
        <x:v>Conditional mandatory</x:v>
      </x:c>
      <x:c r="F144" s="5" t="str">
        <x:v>TLS1.3 support selected</x:v>
      </x:c>
      <x:c r="G144" s="5" t="str"/>
      <x:c r="H144" s="5" t="str">
        <x:v>8.7</x:v>
      </x:c>
      <x:c r="I144" s="5" t="str">
        <x:v>42</x:v>
      </x:c>
      <x:c r="J144" s="5" t="str">
        <x:v>34</x:v>
      </x:c>
      <x:c r="K144" s="5" t="str">
        <x:v>apps/ccli/adapters/iec61850_mms/mms_adapter.cpp; mms_rbac_security.cpp; adapters/iec60870_104/iec104_tls.cpp; core/config/ccli_config.hpp</x:v>
      </x:c>
      <x:c r="L144" s="5" t="str">
        <x:v>HiTEKS security/PKI lead</x:v>
      </x:c>
      <x:c r="M144" s="5" t="str">
        <x:v>Existing implementation area; requirement acceptance open</x:v>
      </x:c>
      <x:c r="N144" s="5" t="str">
        <x:v>Not demonstrated</x:v>
      </x:c>
      <x:c r="O144" s="5" t="str">
        <x:v>Positive and negative identity/trust/revocation tests on both claimed protocol endpoints. Verify: Terminate an established connection receiving a new ClientHello.</x:v>
      </x:c>
      <x:c r="P144" s="10" t="str"/>
      <x:c r="Q144" s="10" t="str">
        <x:v>Open</x:v>
      </x:c>
      <x:c r="R144" s="10" t="str"/>
      <x:c r="S144" s="10" t="str"/>
      <x:c r="T144" s="10" t="str"/>
      <x:c r="U144" s="5" t="str">
        <x:f>IF(Q144="Closed",IF(AND(R144&lt;&gt;"",S144&lt;&gt;""),"Closed recorded","Missing evidence/reviewer"),IF(Q144="N/A approved",IF(AND(T144&lt;&gt;"",S144&lt;&gt;""),"N/A recorded","Missing applicability approval"),"Open"))</x:f>
        <x:v>Open</x:v>
      </x:c>
      <x:c r="V144" s="5" t="str">
        <x:v>Normativa/EN IEC 62351-3-2023.pdf</x:v>
      </x:c>
      <x:c r="W144" s="5" t="str"/>
    </x:row>
    <x:row r="145" ht="36" customHeight="1">
      <x:c r="A145" s="5" t="str">
        <x:v>TLS-13-CERT-01-03</x:v>
      </x:c>
      <x:c r="B145" s="5" t="str">
        <x:v>13-CERT-01</x:v>
      </x:c>
      <x:c r="C145" s="5" t="str">
        <x:v>TLS1.3 active validation</x:v>
      </x:c>
      <x:c r="D145" s="5" t="str">
        <x:v>Track peer certificates and invoke periodic application-level certificate/revocation checks</x:v>
      </x:c>
      <x:c r="E145" s="5" t="str">
        <x:v>Conditional mandatory</x:v>
      </x:c>
      <x:c r="F145" s="5" t="str">
        <x:v>TLS1.3 support selected</x:v>
      </x:c>
      <x:c r="G145" s="5" t="str"/>
      <x:c r="H145" s="5" t="str">
        <x:v>8.7</x:v>
      </x:c>
      <x:c r="I145" s="5" t="str">
        <x:v>42</x:v>
      </x:c>
      <x:c r="J145" s="5" t="str">
        <x:v>34</x:v>
      </x:c>
      <x:c r="K145" s="5" t="str">
        <x:v>apps/ccli/adapters/iec61850_mms/mms_adapter.cpp; mms_rbac_security.cpp; adapters/iec60870_104/iec104_tls.cpp; core/config/ccli_config.hpp</x:v>
      </x:c>
      <x:c r="L145" s="5" t="str">
        <x:v>HiTEKS security/PKI lead</x:v>
      </x:c>
      <x:c r="M145" s="5" t="str">
        <x:v>Existing implementation area; requirement acceptance open</x:v>
      </x:c>
      <x:c r="N145" s="5" t="str">
        <x:v>Not demonstrated</x:v>
      </x:c>
      <x:c r="O145" s="5" t="str">
        <x:v>Positive and negative identity/trust/revocation tests on both claimed protocol endpoints. Verify: Track peer certificates and invoke periodic application-level certificate/revocation checks.</x:v>
      </x:c>
      <x:c r="P145" s="10" t="str"/>
      <x:c r="Q145" s="10" t="str">
        <x:v>Open</x:v>
      </x:c>
      <x:c r="R145" s="10" t="str"/>
      <x:c r="S145" s="10" t="str"/>
      <x:c r="T145" s="10" t="str"/>
      <x:c r="U145" s="5" t="str">
        <x:f>IF(Q145="Closed",IF(AND(R145&lt;&gt;"",S145&lt;&gt;""),"Closed recorded","Missing evidence/reviewer"),IF(Q145="N/A approved",IF(AND(T145&lt;&gt;"",S145&lt;&gt;""),"N/A recorded","Missing applicability approval"),"Open"))</x:f>
        <x:v>Open</x:v>
      </x:c>
      <x:c r="V145" s="5" t="str">
        <x:v>Normativa/EN IEC 62351-3-2023.pdf</x:v>
      </x:c>
      <x:c r="W145" s="5" t="str"/>
    </x:row>
    <x:row r="146" ht="36" customHeight="1">
      <x:c r="A146" s="5" t="str">
        <x:v>TLS-13-EXT-01-01</x:v>
      </x:c>
      <x:c r="B146" s="5" t="str">
        <x:v>13-EXT-01</x:v>
      </x:c>
      <x:c r="C146" s="5" t="str">
        <x:v>supported_versions</x:v>
      </x:c>
      <x:c r="D146" s="5" t="str">
        <x:v>Support supported_versions in required ClientHello/ServerHello/HelloRetryRequest messages</x:v>
      </x:c>
      <x:c r="E146" s="5" t="str">
        <x:v>Conditional mandatory</x:v>
      </x:c>
      <x:c r="F146" s="5" t="str">
        <x:v>TLS1.3 support selected</x:v>
      </x:c>
      <x:c r="G146" s="5" t="str"/>
      <x:c r="H146" s="5" t="str">
        <x:v>8.8.2</x:v>
      </x:c>
      <x:c r="I146" s="5" t="str">
        <x:v>43</x:v>
      </x:c>
      <x:c r="J146" s="5" t="str">
        <x:v>35</x:v>
      </x:c>
      <x:c r="K146" s="5" t="str">
        <x:v>apps/ccli/third_party/libiec61850/hal/tls/mbedtls3; adapters/iec61850_mms/mms_adapter.cpp; adapters/iec60870_104/iec104_tls.cpp; cmake/tls_allowlist_validation.cmake</x:v>
      </x:c>
      <x:c r="L146" s="5" t="str">
        <x:v>HiTEKS security + Tespro platform</x:v>
      </x:c>
      <x:c r="M146" s="5" t="str">
        <x:v>Existing implementation area; requirement acceptance open</x:v>
      </x:c>
      <x:c r="N146" s="5" t="str">
        <x:v>Not demonstrated</x:v>
      </x:c>
      <x:c r="O146" s="5" t="str">
        <x:v>Frozen-build algorithm/policy tests, key handling review and negative negotiation evidence. Verify: Support supported_versions in required ClientHello/ServerHello/HelloRetryRequest messages.</x:v>
      </x:c>
      <x:c r="P146" s="10" t="str"/>
      <x:c r="Q146" s="10" t="str">
        <x:v>Open</x:v>
      </x:c>
      <x:c r="R146" s="10" t="str"/>
      <x:c r="S146" s="10" t="str"/>
      <x:c r="T146" s="10" t="str"/>
      <x:c r="U146" s="5" t="str">
        <x:f>IF(Q146="Closed",IF(AND(R146&lt;&gt;"",S146&lt;&gt;""),"Closed recorded","Missing evidence/reviewer"),IF(Q146="N/A approved",IF(AND(T146&lt;&gt;"",S146&lt;&gt;""),"N/A recorded","Missing applicability approval"),"Open"))</x:f>
        <x:v>Open</x:v>
      </x:c>
      <x:c r="V146" s="5" t="str">
        <x:v>Normativa/EN IEC 62351-3-2023.pdf</x:v>
      </x:c>
      <x:c r="W146" s="5" t="str"/>
    </x:row>
    <x:row r="147" ht="36" customHeight="1">
      <x:c r="A147" s="5" t="str">
        <x:v>TLS-13-EXT-01-02</x:v>
      </x:c>
      <x:c r="B147" s="5" t="str">
        <x:v>13-EXT-01</x:v>
      </x:c>
      <x:c r="C147" s="5" t="str">
        <x:v>supported_versions</x:v>
      </x:c>
      <x:c r="D147" s="5" t="str">
        <x:v>Signal0x0304 for TLS1.3</x:v>
      </x:c>
      <x:c r="E147" s="5" t="str">
        <x:v>Conditional mandatory</x:v>
      </x:c>
      <x:c r="F147" s="5" t="str">
        <x:v>TLS1.3 support selected</x:v>
      </x:c>
      <x:c r="G147" s="5" t="str"/>
      <x:c r="H147" s="5" t="str">
        <x:v>8.8.2</x:v>
      </x:c>
      <x:c r="I147" s="5" t="str">
        <x:v>43</x:v>
      </x:c>
      <x:c r="J147" s="5" t="str">
        <x:v>35</x:v>
      </x:c>
      <x:c r="K147" s="5" t="str">
        <x:v>apps/ccli/third_party/libiec61850/hal/tls/mbedtls3; adapters/iec61850_mms/mms_adapter.cpp; adapters/iec60870_104/iec104_tls.cpp; cmake/tls_allowlist_validation.cmake</x:v>
      </x:c>
      <x:c r="L147" s="5" t="str">
        <x:v>HiTEKS security + Tespro platform</x:v>
      </x:c>
      <x:c r="M147" s="5" t="str">
        <x:v>Existing implementation area; requirement acceptance open</x:v>
      </x:c>
      <x:c r="N147" s="5" t="str">
        <x:v>Not demonstrated</x:v>
      </x:c>
      <x:c r="O147" s="5" t="str">
        <x:v>Frozen-build algorithm/policy tests, key handling review and negative negotiation evidence. Verify: Signal0x0304 for TLS1.3.</x:v>
      </x:c>
      <x:c r="P147" s="10" t="str"/>
      <x:c r="Q147" s="10" t="str">
        <x:v>Open</x:v>
      </x:c>
      <x:c r="R147" s="10" t="str"/>
      <x:c r="S147" s="10" t="str"/>
      <x:c r="T147" s="10" t="str"/>
      <x:c r="U147" s="5" t="str">
        <x:f>IF(Q147="Closed",IF(AND(R147&lt;&gt;"",S147&lt;&gt;""),"Closed recorded","Missing evidence/reviewer"),IF(Q147="N/A approved",IF(AND(T147&lt;&gt;"",S147&lt;&gt;""),"N/A recorded","Missing applicability approval"),"Open"))</x:f>
        <x:v>Open</x:v>
      </x:c>
      <x:c r="V147" s="5" t="str">
        <x:v>Normativa/EN IEC 62351-3-2023.pdf</x:v>
      </x:c>
      <x:c r="W147" s="5" t="str"/>
    </x:row>
    <x:row r="148" ht="36" customHeight="1">
      <x:c r="A148" s="5" t="str">
        <x:v>TLS-13-EXT-01-03</x:v>
      </x:c>
      <x:c r="B148" s="5" t="str">
        <x:v>13-EXT-01</x:v>
      </x:c>
      <x:c r="C148" s="5" t="str">
        <x:v>supported_versions</x:v>
      </x:c>
      <x:c r="D148" s="5" t="str">
        <x:v>Include older versions only where policy permits</x:v>
      </x:c>
      <x:c r="E148" s="5" t="str">
        <x:v>Conditional mandatory</x:v>
      </x:c>
      <x:c r="F148" s="5" t="str">
        <x:v>TLS1.3 support selected</x:v>
      </x:c>
      <x:c r="G148" s="5" t="str"/>
      <x:c r="H148" s="5" t="str">
        <x:v>8.8.2</x:v>
      </x:c>
      <x:c r="I148" s="5" t="str">
        <x:v>43</x:v>
      </x:c>
      <x:c r="J148" s="5" t="str">
        <x:v>35</x:v>
      </x:c>
      <x:c r="K148" s="5" t="str">
        <x:v>apps/ccli/third_party/libiec61850/hal/tls/mbedtls3; adapters/iec61850_mms/mms_adapter.cpp; adapters/iec60870_104/iec104_tls.cpp; cmake/tls_allowlist_validation.cmake</x:v>
      </x:c>
      <x:c r="L148" s="5" t="str">
        <x:v>HiTEKS security + Tespro platform</x:v>
      </x:c>
      <x:c r="M148" s="5" t="str">
        <x:v>Existing implementation area; requirement acceptance open</x:v>
      </x:c>
      <x:c r="N148" s="5" t="str">
        <x:v>Not demonstrated</x:v>
      </x:c>
      <x:c r="O148" s="5" t="str">
        <x:v>Frozen-build algorithm/policy tests, key handling review and negative negotiation evidence. Verify: Include older versions only where policy permits.</x:v>
      </x:c>
      <x:c r="P148" s="10" t="str"/>
      <x:c r="Q148" s="10" t="str">
        <x:v>Open</x:v>
      </x:c>
      <x:c r="R148" s="10" t="str"/>
      <x:c r="S148" s="10" t="str"/>
      <x:c r="T148" s="10" t="str"/>
      <x:c r="U148" s="5" t="str">
        <x:f>IF(Q148="Closed",IF(AND(R148&lt;&gt;"",S148&lt;&gt;""),"Closed recorded","Missing evidence/reviewer"),IF(Q148="N/A approved",IF(AND(T148&lt;&gt;"",S148&lt;&gt;""),"N/A recorded","Missing applicability approval"),"Open"))</x:f>
        <x:v>Open</x:v>
      </x:c>
      <x:c r="V148" s="5" t="str">
        <x:v>Normativa/EN IEC 62351-3-2023.pdf</x:v>
      </x:c>
      <x:c r="W148" s="5" t="str"/>
    </x:row>
    <x:row r="149" ht="36" customHeight="1">
      <x:c r="A149" s="5" t="str">
        <x:v>TLS-13-EXT-02-01</x:v>
      </x:c>
      <x:c r="B149" s="5" t="str">
        <x:v>13-EXT-02</x:v>
      </x:c>
      <x:c r="C149" s="5" t="str">
        <x:v>Handshake signature extension</x:v>
      </x:c>
      <x:c r="D149" s="5" t="str">
        <x:v>Support signature_algorithms</x:v>
      </x:c>
      <x:c r="E149" s="5" t="str">
        <x:v>Conditional mandatory</x:v>
      </x:c>
      <x:c r="F149" s="5" t="str">
        <x:v>TLS1.3 support selected</x:v>
      </x:c>
      <x:c r="G149" s="5" t="str"/>
      <x:c r="H149" s="5" t="str">
        <x:v>8.8.4.1</x:v>
      </x:c>
      <x:c r="I149" s="5" t="str">
        <x:v>43</x:v>
      </x:c>
      <x:c r="J149" s="5" t="str">
        <x:v>35</x:v>
      </x:c>
      <x:c r="K149" s="5" t="str">
        <x:v>apps/ccli/third_party/libiec61850/hal/tls/mbedtls3; adapters/iec61850_mms/mms_adapter.cpp; adapters/iec60870_104/iec104_tls.cpp; cmake/tls_allowlist_validation.cmake</x:v>
      </x:c>
      <x:c r="L149" s="5" t="str">
        <x:v>HiTEKS security + Tespro platform</x:v>
      </x:c>
      <x:c r="M149" s="5" t="str">
        <x:v>Existing implementation area; requirement acceptance open</x:v>
      </x:c>
      <x:c r="N149" s="5" t="str">
        <x:v>Not demonstrated</x:v>
      </x:c>
      <x:c r="O149" s="5" t="str">
        <x:v>Frozen-build algorithm/policy tests, key handling review and negative negotiation evidence. Verify: Support signature_algorithms.</x:v>
      </x:c>
      <x:c r="P149" s="10" t="str"/>
      <x:c r="Q149" s="10" t="str">
        <x:v>Open</x:v>
      </x:c>
      <x:c r="R149" s="10" t="str"/>
      <x:c r="S149" s="10" t="str"/>
      <x:c r="T149" s="10" t="str"/>
      <x:c r="U149" s="5" t="str">
        <x:f>IF(Q149="Closed",IF(AND(R149&lt;&gt;"",S149&lt;&gt;""),"Closed recorded","Missing evidence/reviewer"),IF(Q149="N/A approved",IF(AND(T149&lt;&gt;"",S149&lt;&gt;""),"N/A recorded","Missing applicability approval"),"Open"))</x:f>
        <x:v>Open</x:v>
      </x:c>
      <x:c r="V149" s="5" t="str">
        <x:v>Normativa/EN IEC 62351-3-2023.pdf</x:v>
      </x:c>
      <x:c r="W149" s="5" t="str"/>
    </x:row>
    <x:row r="150" ht="36" customHeight="1">
      <x:c r="A150" s="5" t="str">
        <x:v>TLS-13-EXT-02-02</x:v>
      </x:c>
      <x:c r="B150" s="5" t="str">
        <x:v>13-EXT-02</x:v>
      </x:c>
      <x:c r="C150" s="5" t="str">
        <x:v>Handshake signature extension</x:v>
      </x:c>
      <x:c r="D150" s="5" t="str">
        <x:v>Client includes every mandatory Table5 algorithm</x:v>
      </x:c>
      <x:c r="E150" s="5" t="str">
        <x:v>Conditional mandatory</x:v>
      </x:c>
      <x:c r="F150" s="5" t="str">
        <x:v>TLS1.3 support selected</x:v>
      </x:c>
      <x:c r="G150" s="5" t="str"/>
      <x:c r="H150" s="5" t="str">
        <x:v>8.8.4.1</x:v>
      </x:c>
      <x:c r="I150" s="5" t="str">
        <x:v>43</x:v>
      </x:c>
      <x:c r="J150" s="5" t="str">
        <x:v>35</x:v>
      </x:c>
      <x:c r="K150" s="5" t="str">
        <x:v>apps/ccli/third_party/libiec61850/hal/tls/mbedtls3; adapters/iec61850_mms/mms_adapter.cpp; adapters/iec60870_104/iec104_tls.cpp; cmake/tls_allowlist_validation.cmake</x:v>
      </x:c>
      <x:c r="L150" s="5" t="str">
        <x:v>HiTEKS security + Tespro platform</x:v>
      </x:c>
      <x:c r="M150" s="5" t="str">
        <x:v>Existing implementation area; requirement acceptance open</x:v>
      </x:c>
      <x:c r="N150" s="5" t="str">
        <x:v>Not demonstrated</x:v>
      </x:c>
      <x:c r="O150" s="5" t="str">
        <x:v>Frozen-build algorithm/policy tests, key handling review and negative negotiation evidence. Verify: Client includes every mandatory Table5 algorithm.</x:v>
      </x:c>
      <x:c r="P150" s="10" t="str"/>
      <x:c r="Q150" s="10" t="str">
        <x:v>Open</x:v>
      </x:c>
      <x:c r="R150" s="10" t="str"/>
      <x:c r="S150" s="10" t="str"/>
      <x:c r="T150" s="10" t="str"/>
      <x:c r="U150" s="5" t="str">
        <x:f>IF(Q150="Closed",IF(AND(R150&lt;&gt;"",S150&lt;&gt;""),"Closed recorded","Missing evidence/reviewer"),IF(Q150="N/A approved",IF(AND(T150&lt;&gt;"",S150&lt;&gt;""),"N/A recorded","Missing applicability approval"),"Open"))</x:f>
        <x:v>Open</x:v>
      </x:c>
      <x:c r="V150" s="5" t="str">
        <x:v>Normativa/EN IEC 62351-3-2023.pdf</x:v>
      </x:c>
      <x:c r="W150" s="5" t="str"/>
    </x:row>
    <x:row r="151" ht="36" customHeight="1">
      <x:c r="A151" s="5" t="str">
        <x:v>TLS-13-EXT-03-01</x:v>
      </x:c>
      <x:c r="B151" s="5" t="str">
        <x:v>13-EXT-03</x:v>
      </x:c>
      <x:c r="C151" s="5" t="str">
        <x:v>Certificate signature extension</x:v>
      </x:c>
      <x:c r="D151" s="5" t="str">
        <x:v>Support signature_algorithms_cert</x:v>
      </x:c>
      <x:c r="E151" s="5" t="str">
        <x:v>Conditional mandatory</x:v>
      </x:c>
      <x:c r="F151" s="5" t="str">
        <x:v>TLS1.3 support selected</x:v>
      </x:c>
      <x:c r="G151" s="5" t="str"/>
      <x:c r="H151" s="5" t="str">
        <x:v>8.8.4.2</x:v>
      </x:c>
      <x:c r="I151" s="5" t="str">
        <x:v>44</x:v>
      </x:c>
      <x:c r="J151" s="5" t="str">
        <x:v>36</x:v>
      </x:c>
      <x:c r="K151" s="5" t="str">
        <x:v>apps/ccli/third_party/libiec61850/hal/tls/mbedtls3; adapters/iec61850_mms/mms_adapter.cpp; adapters/iec60870_104/iec104_tls.cpp; cmake/tls_allowlist_validation.cmake</x:v>
      </x:c>
      <x:c r="L151" s="5" t="str">
        <x:v>HiTEKS security + Tespro platform</x:v>
      </x:c>
      <x:c r="M151" s="5" t="str">
        <x:v>Existing implementation area; requirement acceptance open</x:v>
      </x:c>
      <x:c r="N151" s="5" t="str">
        <x:v>Not demonstrated</x:v>
      </x:c>
      <x:c r="O151" s="5" t="str">
        <x:v>Frozen-build algorithm/policy tests, key handling review and negative negotiation evidence. Verify: Support signature_algorithms_cert.</x:v>
      </x:c>
      <x:c r="P151" s="10" t="str"/>
      <x:c r="Q151" s="10" t="str">
        <x:v>Open</x:v>
      </x:c>
      <x:c r="R151" s="10" t="str"/>
      <x:c r="S151" s="10" t="str"/>
      <x:c r="T151" s="10" t="str"/>
      <x:c r="U151" s="5" t="str">
        <x:f>IF(Q151="Closed",IF(AND(R151&lt;&gt;"",S151&lt;&gt;""),"Closed recorded","Missing evidence/reviewer"),IF(Q151="N/A approved",IF(AND(T151&lt;&gt;"",S151&lt;&gt;""),"N/A recorded","Missing applicability approval"),"Open"))</x:f>
        <x:v>Open</x:v>
      </x:c>
      <x:c r="V151" s="5" t="str">
        <x:v>Normativa/EN IEC 62351-3-2023.pdf</x:v>
      </x:c>
      <x:c r="W151" s="5" t="str"/>
    </x:row>
    <x:row r="152" ht="36" customHeight="1">
      <x:c r="A152" s="5" t="str">
        <x:v>TLS-13-EXT-03-02</x:v>
      </x:c>
      <x:c r="B152" s="5" t="str">
        <x:v>13-EXT-03</x:v>
      </x:c>
      <x:c r="C152" s="5" t="str">
        <x:v>Certificate signature extension</x:v>
      </x:c>
      <x:c r="D152" s="5" t="str">
        <x:v>Client includes every mandatory Table6 algorithm</x:v>
      </x:c>
      <x:c r="E152" s="5" t="str">
        <x:v>Conditional mandatory</x:v>
      </x:c>
      <x:c r="F152" s="5" t="str">
        <x:v>TLS1.3 support selected</x:v>
      </x:c>
      <x:c r="G152" s="5" t="str"/>
      <x:c r="H152" s="5" t="str">
        <x:v>8.8.4.2</x:v>
      </x:c>
      <x:c r="I152" s="5" t="str">
        <x:v>44</x:v>
      </x:c>
      <x:c r="J152" s="5" t="str">
        <x:v>36</x:v>
      </x:c>
      <x:c r="K152" s="5" t="str">
        <x:v>apps/ccli/third_party/libiec61850/hal/tls/mbedtls3; adapters/iec61850_mms/mms_adapter.cpp; adapters/iec60870_104/iec104_tls.cpp; cmake/tls_allowlist_validation.cmake</x:v>
      </x:c>
      <x:c r="L152" s="5" t="str">
        <x:v>HiTEKS security + Tespro platform</x:v>
      </x:c>
      <x:c r="M152" s="5" t="str">
        <x:v>Existing implementation area; requirement acceptance open</x:v>
      </x:c>
      <x:c r="N152" s="5" t="str">
        <x:v>Not demonstrated</x:v>
      </x:c>
      <x:c r="O152" s="5" t="str">
        <x:v>Frozen-build algorithm/policy tests, key handling review and negative negotiation evidence. Verify: Client includes every mandatory Table6 algorithm.</x:v>
      </x:c>
      <x:c r="P152" s="10" t="str"/>
      <x:c r="Q152" s="10" t="str">
        <x:v>Open</x:v>
      </x:c>
      <x:c r="R152" s="10" t="str"/>
      <x:c r="S152" s="10" t="str"/>
      <x:c r="T152" s="10" t="str"/>
      <x:c r="U152" s="5" t="str">
        <x:f>IF(Q152="Closed",IF(AND(R152&lt;&gt;"",S152&lt;&gt;""),"Closed recorded","Missing evidence/reviewer"),IF(Q152="N/A approved",IF(AND(T152&lt;&gt;"",S152&lt;&gt;""),"N/A recorded","Missing applicability approval"),"Open"))</x:f>
        <x:v>Open</x:v>
      </x:c>
      <x:c r="V152" s="5" t="str">
        <x:v>Normativa/EN IEC 62351-3-2023.pdf</x:v>
      </x:c>
      <x:c r="W152" s="5" t="str"/>
    </x:row>
    <x:row r="153" ht="36" customHeight="1">
      <x:c r="A153" s="5" t="str">
        <x:v>TLS-13-EXT-04-01</x:v>
      </x:c>
      <x:c r="B153" s="5" t="str">
        <x:v>13-EXT-04</x:v>
      </x:c>
      <x:c r="C153" s="5" t="str">
        <x:v>Group extension</x:v>
      </x:c>
      <x:c r="D153" s="5" t="str">
        <x:v>Support supported_groups</x:v>
      </x:c>
      <x:c r="E153" s="5" t="str">
        <x:v>Conditional mandatory</x:v>
      </x:c>
      <x:c r="F153" s="5" t="str">
        <x:v>TLS1.3 support selected</x:v>
      </x:c>
      <x:c r="G153" s="5" t="str"/>
      <x:c r="H153" s="5" t="str">
        <x:v>8.8.5</x:v>
      </x:c>
      <x:c r="I153" s="5" t="str">
        <x:v>44</x:v>
      </x:c>
      <x:c r="J153" s="5" t="str">
        <x:v>36</x:v>
      </x:c>
      <x:c r="K153" s="5" t="str">
        <x:v>apps/ccli/third_party/libiec61850/hal/tls/mbedtls3; adapters/iec61850_mms/mms_adapter.cpp; adapters/iec60870_104/iec104_tls.cpp; cmake/tls_allowlist_validation.cmake</x:v>
      </x:c>
      <x:c r="L153" s="5" t="str">
        <x:v>HiTEKS security + Tespro platform</x:v>
      </x:c>
      <x:c r="M153" s="5" t="str">
        <x:v>Existing implementation area; requirement acceptance open</x:v>
      </x:c>
      <x:c r="N153" s="5" t="str">
        <x:v>Not demonstrated</x:v>
      </x:c>
      <x:c r="O153" s="5" t="str">
        <x:v>Frozen-build algorithm/policy tests, key handling review and negative negotiation evidence. Verify: Support supported_groups.</x:v>
      </x:c>
      <x:c r="P153" s="10" t="str"/>
      <x:c r="Q153" s="10" t="str">
        <x:v>Open</x:v>
      </x:c>
      <x:c r="R153" s="10" t="str"/>
      <x:c r="S153" s="10" t="str"/>
      <x:c r="T153" s="10" t="str"/>
      <x:c r="U153" s="5" t="str">
        <x:f>IF(Q153="Closed",IF(AND(R153&lt;&gt;"",S153&lt;&gt;""),"Closed recorded","Missing evidence/reviewer"),IF(Q153="N/A approved",IF(AND(T153&lt;&gt;"",S153&lt;&gt;""),"N/A recorded","Missing applicability approval"),"Open"))</x:f>
        <x:v>Open</x:v>
      </x:c>
      <x:c r="V153" s="5" t="str">
        <x:v>Normativa/EN IEC 62351-3-2023.pdf</x:v>
      </x:c>
      <x:c r="W153" s="5" t="str"/>
    </x:row>
    <x:row r="154" ht="36" customHeight="1">
      <x:c r="A154" s="5" t="str">
        <x:v>TLS-13-EXT-04-02</x:v>
      </x:c>
      <x:c r="B154" s="5" t="str">
        <x:v>13-EXT-04</x:v>
      </x:c>
      <x:c r="C154" s="5" t="str">
        <x:v>Group extension</x:v>
      </x:c>
      <x:c r="D154" s="5" t="str">
        <x:v>Client signals mandatory and selected optional groups from Table4</x:v>
      </x:c>
      <x:c r="E154" s="5" t="str">
        <x:v>Conditional mandatory</x:v>
      </x:c>
      <x:c r="F154" s="5" t="str">
        <x:v>TLS1.3 support selected</x:v>
      </x:c>
      <x:c r="G154" s="5" t="str"/>
      <x:c r="H154" s="5" t="str">
        <x:v>8.8.5</x:v>
      </x:c>
      <x:c r="I154" s="5" t="str">
        <x:v>44</x:v>
      </x:c>
      <x:c r="J154" s="5" t="str">
        <x:v>36</x:v>
      </x:c>
      <x:c r="K154" s="5" t="str">
        <x:v>apps/ccli/third_party/libiec61850/hal/tls/mbedtls3; adapters/iec61850_mms/mms_adapter.cpp; adapters/iec60870_104/iec104_tls.cpp; cmake/tls_allowlist_validation.cmake</x:v>
      </x:c>
      <x:c r="L154" s="5" t="str">
        <x:v>HiTEKS security + Tespro platform</x:v>
      </x:c>
      <x:c r="M154" s="5" t="str">
        <x:v>Existing implementation area; requirement acceptance open</x:v>
      </x:c>
      <x:c r="N154" s="5" t="str">
        <x:v>Not demonstrated</x:v>
      </x:c>
      <x:c r="O154" s="5" t="str">
        <x:v>Frozen-build algorithm/policy tests, key handling review and negative negotiation evidence. Verify: Client signals mandatory and selected optional groups from Table4.</x:v>
      </x:c>
      <x:c r="P154" s="10" t="str"/>
      <x:c r="Q154" s="10" t="str">
        <x:v>Open</x:v>
      </x:c>
      <x:c r="R154" s="10" t="str"/>
      <x:c r="S154" s="10" t="str"/>
      <x:c r="T154" s="10" t="str"/>
      <x:c r="U154" s="5" t="str">
        <x:f>IF(Q154="Closed",IF(AND(R154&lt;&gt;"",S154&lt;&gt;""),"Closed recorded","Missing evidence/reviewer"),IF(Q154="N/A approved",IF(AND(T154&lt;&gt;"",S154&lt;&gt;""),"N/A recorded","Missing applicability approval"),"Open"))</x:f>
        <x:v>Open</x:v>
      </x:c>
      <x:c r="V154" s="5" t="str">
        <x:v>Normativa/EN IEC 62351-3-2023.pdf</x:v>
      </x:c>
      <x:c r="W154" s="5" t="str"/>
    </x:row>
    <x:row r="155" ht="36" customHeight="1">
      <x:c r="A155" s="5" t="str">
        <x:v>TLS-13-EXT-05-01</x:v>
      </x:c>
      <x:c r="B155" s="5" t="str">
        <x:v>13-EXT-05</x:v>
      </x:c>
      <x:c r="C155" s="5" t="str">
        <x:v>Key-share extension</x:v>
      </x:c>
      <x:c r="D155" s="5" t="str">
        <x:v>Support key_share</x:v>
      </x:c>
      <x:c r="E155" s="5" t="str">
        <x:v>Conditional mandatory</x:v>
      </x:c>
      <x:c r="F155" s="5" t="str">
        <x:v>TLS1.3 support selected</x:v>
      </x:c>
      <x:c r="G155" s="5" t="str"/>
      <x:c r="H155" s="5" t="str">
        <x:v>8.8.6</x:v>
      </x:c>
      <x:c r="I155" s="5" t="str">
        <x:v>44</x:v>
      </x:c>
      <x:c r="J155" s="5" t="str">
        <x:v>36</x:v>
      </x:c>
      <x:c r="K155" s="5" t="str">
        <x:v>apps/ccli/third_party/libiec61850/hal/tls/mbedtls3; adapters/iec61850_mms/mms_adapter.cpp; adapters/iec60870_104/iec104_tls.cpp; cmake/tls_allowlist_validation.cmake</x:v>
      </x:c>
      <x:c r="L155" s="5" t="str">
        <x:v>HiTEKS security + Tespro platform</x:v>
      </x:c>
      <x:c r="M155" s="5" t="str">
        <x:v>Existing implementation area; requirement acceptance open</x:v>
      </x:c>
      <x:c r="N155" s="5" t="str">
        <x:v>Not demonstrated</x:v>
      </x:c>
      <x:c r="O155" s="5" t="str">
        <x:v>Frozen-build algorithm/policy tests, key handling review and negative negotiation evidence. Verify: Support key_share.</x:v>
      </x:c>
      <x:c r="P155" s="10" t="str"/>
      <x:c r="Q155" s="10" t="str">
        <x:v>Open</x:v>
      </x:c>
      <x:c r="R155" s="10" t="str"/>
      <x:c r="S155" s="10" t="str"/>
      <x:c r="T155" s="10" t="str"/>
      <x:c r="U155" s="5" t="str">
        <x:f>IF(Q155="Closed",IF(AND(R155&lt;&gt;"",S155&lt;&gt;""),"Closed recorded","Missing evidence/reviewer"),IF(Q155="N/A approved",IF(AND(T155&lt;&gt;"",S155&lt;&gt;""),"N/A recorded","Missing applicability approval"),"Open"))</x:f>
        <x:v>Open</x:v>
      </x:c>
      <x:c r="V155" s="5" t="str">
        <x:v>Normativa/EN IEC 62351-3-2023.pdf</x:v>
      </x:c>
      <x:c r="W155" s="5" t="str"/>
    </x:row>
    <x:row r="156" ht="36" customHeight="1">
      <x:c r="A156" s="5" t="str">
        <x:v>TLS-13-EXT-05-02</x:v>
      </x:c>
      <x:c r="B156" s="5" t="str">
        <x:v>13-EXT-05</x:v>
      </x:c>
      <x:c r="C156" s="5" t="str">
        <x:v>Key-share extension</x:v>
      </x:c>
      <x:c r="D156" s="5" t="str">
        <x:v>Include at least one mandatory Table4 named group and its matching cryptographic parameters</x:v>
      </x:c>
      <x:c r="E156" s="5" t="str">
        <x:v>Conditional mandatory</x:v>
      </x:c>
      <x:c r="F156" s="5" t="str">
        <x:v>TLS1.3 support selected</x:v>
      </x:c>
      <x:c r="G156" s="5" t="str"/>
      <x:c r="H156" s="5" t="str">
        <x:v>8.8.6</x:v>
      </x:c>
      <x:c r="I156" s="5" t="str">
        <x:v>44</x:v>
      </x:c>
      <x:c r="J156" s="5" t="str">
        <x:v>36</x:v>
      </x:c>
      <x:c r="K156" s="5" t="str">
        <x:v>apps/ccli/third_party/libiec61850/hal/tls/mbedtls3; adapters/iec61850_mms/mms_adapter.cpp; adapters/iec60870_104/iec104_tls.cpp; cmake/tls_allowlist_validation.cmake</x:v>
      </x:c>
      <x:c r="L156" s="5" t="str">
        <x:v>HiTEKS security + Tespro platform</x:v>
      </x:c>
      <x:c r="M156" s="5" t="str">
        <x:v>Existing implementation area; requirement acceptance open</x:v>
      </x:c>
      <x:c r="N156" s="5" t="str">
        <x:v>Not demonstrated</x:v>
      </x:c>
      <x:c r="O156" s="5" t="str">
        <x:v>Frozen-build algorithm/policy tests, key handling review and negative negotiation evidence. Verify: Include at least one mandatory Table4 named group and its matching cryptographic parameters.</x:v>
      </x:c>
      <x:c r="P156" s="10" t="str"/>
      <x:c r="Q156" s="10" t="str">
        <x:v>Open</x:v>
      </x:c>
      <x:c r="R156" s="10" t="str"/>
      <x:c r="S156" s="10" t="str"/>
      <x:c r="T156" s="10" t="str"/>
      <x:c r="U156" s="5" t="str">
        <x:f>IF(Q156="Closed",IF(AND(R156&lt;&gt;"",S156&lt;&gt;""),"Closed recorded","Missing evidence/reviewer"),IF(Q156="N/A approved",IF(AND(T156&lt;&gt;"",S156&lt;&gt;""),"N/A recorded","Missing applicability approval"),"Open"))</x:f>
        <x:v>Open</x:v>
      </x:c>
      <x:c r="V156" s="5" t="str">
        <x:v>Normativa/EN IEC 62351-3-2023.pdf</x:v>
      </x:c>
      <x:c r="W156" s="5" t="str"/>
    </x:row>
    <x:row r="157" ht="36" customHeight="1">
      <x:c r="A157" s="5" t="str">
        <x:v>TLS-13-EXT-06-01</x:v>
      </x:c>
      <x:c r="B157" s="5" t="str">
        <x:v>13-EXT-06</x:v>
      </x:c>
      <x:c r="C157" s="5" t="str">
        <x:v>Certificate-authorities indication</x:v>
      </x:c>
      <x:c r="D157" s="5" t="str">
        <x:v>Raise matching-CA-certificate-not-found alarm if selection cannot be satisfied</x:v>
      </x:c>
      <x:c r="E157" s="5" t="str">
        <x:v>Conditional mandatory</x:v>
      </x:c>
      <x:c r="F157" s="5" t="str">
        <x:v>Optional certificate_authorities used</x:v>
      </x:c>
      <x:c r="G157" s="5" t="str"/>
      <x:c r="H157" s="5" t="str">
        <x:v>8.8.8</x:v>
      </x:c>
      <x:c r="I157" s="5" t="str">
        <x:v>45</x:v>
      </x:c>
      <x:c r="J157" s="5" t="str">
        <x:v>37</x:v>
      </x:c>
      <x:c r="K157" s="5" t="str">
        <x:v>apps/ccli/adapters/iec61850_mms/mms_adapter.cpp; mms_rbac_security.cpp; adapters/iec60870_104/iec104_tls.cpp; core/config/ccli_config.hpp</x:v>
      </x:c>
      <x:c r="L157" s="5" t="str">
        <x:v>HiTEKS security/PKI lead</x:v>
      </x:c>
      <x:c r="M157" s="5" t="str">
        <x:v>Existing implementation area; requirement acceptance open</x:v>
      </x:c>
      <x:c r="N157" s="5" t="str">
        <x:v>Not demonstrated</x:v>
      </x:c>
      <x:c r="O157" s="5" t="str">
        <x:v>Positive and negative identity/trust/revocation tests on both claimed protocol endpoints. Verify: Raise matching-CA-certificate-not-found alarm if selection cannot be satisfied.</x:v>
      </x:c>
      <x:c r="P157" s="10" t="str"/>
      <x:c r="Q157" s="10" t="str">
        <x:v>Open</x:v>
      </x:c>
      <x:c r="R157" s="10" t="str"/>
      <x:c r="S157" s="10" t="str"/>
      <x:c r="T157" s="10" t="str"/>
      <x:c r="U157" s="5" t="str">
        <x:f>IF(Q157="Closed",IF(AND(R157&lt;&gt;"",S157&lt;&gt;""),"Closed recorded","Missing evidence/reviewer"),IF(Q157="N/A approved",IF(AND(T157&lt;&gt;"",S157&lt;&gt;""),"N/A recorded","Missing applicability approval"),"Open"))</x:f>
        <x:v>Open</x:v>
      </x:c>
      <x:c r="V157" s="5" t="str">
        <x:v>Normativa/EN IEC 62351-3-2023.pdf</x:v>
      </x:c>
      <x:c r="W157" s="5" t="str"/>
    </x:row>
    <x:row r="158" ht="36" customHeight="1">
      <x:c r="A158" s="5" t="str">
        <x:v>TLS-13-EXT-07-01</x:v>
      </x:c>
      <x:c r="B158" s="5" t="str">
        <x:v>13-EXT-07</x:v>
      </x:c>
      <x:c r="C158" s="5" t="str">
        <x:v>PSK extensions</x:v>
      </x:c>
      <x:c r="D158" s="5" t="str">
        <x:v>Support pre_shared_key</x:v>
      </x:c>
      <x:c r="E158" s="5" t="str">
        <x:v>Conditional mandatory</x:v>
      </x:c>
      <x:c r="F158" s="5" t="str">
        <x:v>TLS1.3 support selected</x:v>
      </x:c>
      <x:c r="G158" s="5" t="str"/>
      <x:c r="H158" s="5" t="str">
        <x:v>8.8.9</x:v>
      </x:c>
      <x:c r="I158" s="5" t="str">
        <x:v>45</x:v>
      </x:c>
      <x:c r="J158" s="5" t="str">
        <x:v>37</x:v>
      </x:c>
      <x:c r="K158" s="5" t="str">
        <x:v>apps/ccli/third_party/libiec61850/hal/tls/mbedtls3; adapters/iec61850_mms/mms_adapter.cpp; adapters/iec60870_104/iec104_tls.cpp; cmake/tls_allowlist_validation.cmake</x:v>
      </x:c>
      <x:c r="L158" s="5" t="str">
        <x:v>HiTEKS security + Tespro platform</x:v>
      </x:c>
      <x:c r="M158" s="5" t="str">
        <x:v>Existing implementation area; requirement acceptance open</x:v>
      </x:c>
      <x:c r="N158" s="5" t="str">
        <x:v>Not demonstrated</x:v>
      </x:c>
      <x:c r="O158" s="5" t="str">
        <x:v>Frozen-build algorithm/policy tests, key handling review and negative negotiation evidence. Verify: Support pre_shared_key.</x:v>
      </x:c>
      <x:c r="P158" s="10" t="str"/>
      <x:c r="Q158" s="10" t="str">
        <x:v>Open</x:v>
      </x:c>
      <x:c r="R158" s="10" t="str"/>
      <x:c r="S158" s="10" t="str"/>
      <x:c r="T158" s="10" t="str"/>
      <x:c r="U158" s="5" t="str">
        <x:f>IF(Q158="Closed",IF(AND(R158&lt;&gt;"",S158&lt;&gt;""),"Closed recorded","Missing evidence/reviewer"),IF(Q158="N/A approved",IF(AND(T158&lt;&gt;"",S158&lt;&gt;""),"N/A recorded","Missing applicability approval"),"Open"))</x:f>
        <x:v>Open</x:v>
      </x:c>
      <x:c r="V158" s="5" t="str">
        <x:v>Normativa/EN IEC 62351-3-2023.pdf</x:v>
      </x:c>
      <x:c r="W158" s="5" t="str"/>
    </x:row>
    <x:row r="159" ht="36" customHeight="1">
      <x:c r="A159" s="5" t="str">
        <x:v>TLS-13-EXT-07-02</x:v>
      </x:c>
      <x:c r="B159" s="5" t="str">
        <x:v>13-EXT-07</x:v>
      </x:c>
      <x:c r="C159" s="5" t="str">
        <x:v>PSK extensions</x:v>
      </x:c>
      <x:c r="D159" s="5" t="str">
        <x:v>Support psk_key_exchange_modes</x:v>
      </x:c>
      <x:c r="E159" s="5" t="str">
        <x:v>Conditional mandatory</x:v>
      </x:c>
      <x:c r="F159" s="5" t="str">
        <x:v>TLS1.3 support selected</x:v>
      </x:c>
      <x:c r="G159" s="5" t="str"/>
      <x:c r="H159" s="5" t="str">
        <x:v>8.8.9</x:v>
      </x:c>
      <x:c r="I159" s="5" t="str">
        <x:v>45</x:v>
      </x:c>
      <x:c r="J159" s="5" t="str">
        <x:v>37</x:v>
      </x:c>
      <x:c r="K159" s="5" t="str">
        <x:v>apps/ccli/third_party/libiec61850/hal/tls/mbedtls3; adapters/iec61850_mms/mms_adapter.cpp; adapters/iec60870_104/iec104_tls.cpp; cmake/tls_allowlist_validation.cmake</x:v>
      </x:c>
      <x:c r="L159" s="5" t="str">
        <x:v>HiTEKS security + Tespro platform</x:v>
      </x:c>
      <x:c r="M159" s="5" t="str">
        <x:v>Existing implementation area; requirement acceptance open</x:v>
      </x:c>
      <x:c r="N159" s="5" t="str">
        <x:v>Not demonstrated</x:v>
      </x:c>
      <x:c r="O159" s="5" t="str">
        <x:v>Frozen-build algorithm/policy tests, key handling review and negative negotiation evidence. Verify: Support psk_key_exchange_modes.</x:v>
      </x:c>
      <x:c r="P159" s="10" t="str"/>
      <x:c r="Q159" s="10" t="str">
        <x:v>Open</x:v>
      </x:c>
      <x:c r="R159" s="10" t="str"/>
      <x:c r="S159" s="10" t="str"/>
      <x:c r="T159" s="10" t="str"/>
      <x:c r="U159" s="5" t="str">
        <x:f>IF(Q159="Closed",IF(AND(R159&lt;&gt;"",S159&lt;&gt;""),"Closed recorded","Missing evidence/reviewer"),IF(Q159="N/A approved",IF(AND(T159&lt;&gt;"",S159&lt;&gt;""),"N/A recorded","Missing applicability approval"),"Open"))</x:f>
        <x:v>Open</x:v>
      </x:c>
      <x:c r="V159" s="5" t="str">
        <x:v>Normativa/EN IEC 62351-3-2023.pdf</x:v>
      </x:c>
      <x:c r="W159" s="5" t="str"/>
    </x:row>
    <x:row r="160" ht="36" customHeight="1">
      <x:c r="A160" s="5" t="str">
        <x:v>TLS-13-EXT-07-03</x:v>
      </x:c>
      <x:c r="B160" s="5" t="str">
        <x:v>13-EXT-07</x:v>
      </x:c>
      <x:c r="C160" s="5" t="str">
        <x:v>PSK extensions</x:v>
      </x:c>
      <x:c r="D160" s="5" t="str">
        <x:v>Offer only psk_dhe_ke</x:v>
      </x:c>
      <x:c r="E160" s="5" t="str">
        <x:v>Conditional mandatory</x:v>
      </x:c>
      <x:c r="F160" s="5" t="str">
        <x:v>TLS1.3 support selected</x:v>
      </x:c>
      <x:c r="G160" s="5" t="str"/>
      <x:c r="H160" s="5" t="str">
        <x:v>8.8.9</x:v>
      </x:c>
      <x:c r="I160" s="5" t="str">
        <x:v>45</x:v>
      </x:c>
      <x:c r="J160" s="5" t="str">
        <x:v>37</x:v>
      </x:c>
      <x:c r="K160" s="5" t="str">
        <x:v>apps/ccli/third_party/libiec61850/hal/tls/mbedtls3; adapters/iec61850_mms/mms_adapter.cpp; adapters/iec60870_104/iec104_tls.cpp; cmake/tls_allowlist_validation.cmake</x:v>
      </x:c>
      <x:c r="L160" s="5" t="str">
        <x:v>HiTEKS security + Tespro platform</x:v>
      </x:c>
      <x:c r="M160" s="5" t="str">
        <x:v>Existing implementation area; requirement acceptance open</x:v>
      </x:c>
      <x:c r="N160" s="5" t="str">
        <x:v>Not demonstrated</x:v>
      </x:c>
      <x:c r="O160" s="5" t="str">
        <x:v>Frozen-build algorithm/policy tests, key handling review and negative negotiation evidence. Verify: Offer only psk_dhe_ke.</x:v>
      </x:c>
      <x:c r="P160" s="10" t="str"/>
      <x:c r="Q160" s="10" t="str">
        <x:v>Open</x:v>
      </x:c>
      <x:c r="R160" s="10" t="str"/>
      <x:c r="S160" s="10" t="str"/>
      <x:c r="T160" s="10" t="str"/>
      <x:c r="U160" s="5" t="str">
        <x:f>IF(Q160="Closed",IF(AND(R160&lt;&gt;"",S160&lt;&gt;""),"Closed recorded","Missing evidence/reviewer"),IF(Q160="N/A approved",IF(AND(T160&lt;&gt;"",S160&lt;&gt;""),"N/A recorded","Missing applicability approval"),"Open"))</x:f>
        <x:v>Open</x:v>
      </x:c>
      <x:c r="V160" s="5" t="str">
        <x:v>Normativa/EN IEC 62351-3-2023.pdf</x:v>
      </x:c>
      <x:c r="W160" s="5" t="str"/>
    </x:row>
    <x:row r="161" ht="36" customHeight="1">
      <x:c r="A161" s="5" t="str">
        <x:v>TLS-13-EXT-08-01</x:v>
      </x:c>
      <x:c r="B161" s="5" t="str">
        <x:v>13-EXT-08</x:v>
      </x:c>
      <x:c r="C161" s="5" t="str">
        <x:v>TLS1.3 stapled OCSP</x:v>
      </x:c>
      <x:c r="D161" s="5" t="str">
        <x:v>Support status_request per RFC8446/6066</x:v>
      </x:c>
      <x:c r="E161" s="5" t="str">
        <x:v>Conditional mandatory</x:v>
      </x:c>
      <x:c r="F161" s="5" t="str">
        <x:v>TLS1.3 support selected</x:v>
      </x:c>
      <x:c r="G161" s="5" t="str"/>
      <x:c r="H161" s="5" t="str">
        <x:v>8.8.10</x:v>
      </x:c>
      <x:c r="I161" s="5" t="str">
        <x:v>45</x:v>
      </x:c>
      <x:c r="J161" s="5" t="str">
        <x:v>37</x:v>
      </x:c>
      <x:c r="K161" s="5" t="str">
        <x:v>apps/ccli/adapters/iec61850_mms/mms_adapter.cpp; mms_rbac_security.cpp; adapters/iec60870_104/iec104_tls.cpp; core/config/ccli_config.hpp</x:v>
      </x:c>
      <x:c r="L161" s="5" t="str">
        <x:v>HiTEKS security/PKI lead</x:v>
      </x:c>
      <x:c r="M161" s="5" t="str">
        <x:v>Existing implementation area; requirement acceptance open</x:v>
      </x:c>
      <x:c r="N161" s="5" t="str">
        <x:v>Not demonstrated</x:v>
      </x:c>
      <x:c r="O161" s="5" t="str">
        <x:v>Positive and negative identity/trust/revocation tests on both claimed protocol endpoints. Verify: Support status_request per RFC8446/6066.</x:v>
      </x:c>
      <x:c r="P161" s="10" t="str"/>
      <x:c r="Q161" s="10" t="str">
        <x:v>Open</x:v>
      </x:c>
      <x:c r="R161" s="10" t="str"/>
      <x:c r="S161" s="10" t="str"/>
      <x:c r="T161" s="10" t="str"/>
      <x:c r="U161" s="5" t="str">
        <x:f>IF(Q161="Closed",IF(AND(R161&lt;&gt;"",S161&lt;&gt;""),"Closed recorded","Missing evidence/reviewer"),IF(Q161="N/A approved",IF(AND(T161&lt;&gt;"",S161&lt;&gt;""),"N/A recorded","Missing applicability approval"),"Open"))</x:f>
        <x:v>Open</x:v>
      </x:c>
      <x:c r="V161" s="5" t="str">
        <x:v>Normativa/EN IEC 62351-3-2023.pdf</x:v>
      </x:c>
      <x:c r="W161" s="5" t="str"/>
    </x:row>
    <x:row r="162" ht="36" customHeight="1">
      <x:c r="A162" s="5" t="str">
        <x:v>TLS-13-EXT-08-02</x:v>
      </x:c>
      <x:c r="B162" s="5" t="str">
        <x:v>13-EXT-08</x:v>
      </x:c>
      <x:c r="C162" s="5" t="str">
        <x:v>TLS1.3 stapled OCSP</x:v>
      </x:c>
      <x:c r="D162" s="5" t="str">
        <x:v>Process CertificateStatus structure in CertificateEntry</x:v>
      </x:c>
      <x:c r="E162" s="5" t="str">
        <x:v>Conditional mandatory</x:v>
      </x:c>
      <x:c r="F162" s="5" t="str">
        <x:v>TLS1.3 support selected</x:v>
      </x:c>
      <x:c r="G162" s="5" t="str"/>
      <x:c r="H162" s="5" t="str">
        <x:v>8.8.10</x:v>
      </x:c>
      <x:c r="I162" s="5" t="str">
        <x:v>45</x:v>
      </x:c>
      <x:c r="J162" s="5" t="str">
        <x:v>37</x:v>
      </x:c>
      <x:c r="K162" s="5" t="str">
        <x:v>apps/ccli/adapters/iec61850_mms/mms_adapter.cpp; mms_rbac_security.cpp; adapters/iec60870_104/iec104_tls.cpp; core/config/ccli_config.hpp</x:v>
      </x:c>
      <x:c r="L162" s="5" t="str">
        <x:v>HiTEKS security/PKI lead</x:v>
      </x:c>
      <x:c r="M162" s="5" t="str">
        <x:v>Existing implementation area; requirement acceptance open</x:v>
      </x:c>
      <x:c r="N162" s="5" t="str">
        <x:v>Not demonstrated</x:v>
      </x:c>
      <x:c r="O162" s="5" t="str">
        <x:v>Positive and negative identity/trust/revocation tests on both claimed protocol endpoints. Verify: Process CertificateStatus structure in CertificateEntry.</x:v>
      </x:c>
      <x:c r="P162" s="10" t="str"/>
      <x:c r="Q162" s="10" t="str">
        <x:v>Open</x:v>
      </x:c>
      <x:c r="R162" s="10" t="str"/>
      <x:c r="S162" s="10" t="str"/>
      <x:c r="T162" s="10" t="str"/>
      <x:c r="U162" s="5" t="str">
        <x:f>IF(Q162="Closed",IF(AND(R162&lt;&gt;"",S162&lt;&gt;""),"Closed recorded","Missing evidence/reviewer"),IF(Q162="N/A approved",IF(AND(T162&lt;&gt;"",S162&lt;&gt;""),"N/A recorded","Missing applicability approval"),"Open"))</x:f>
        <x:v>Open</x:v>
      </x:c>
      <x:c r="V162" s="5" t="str">
        <x:v>Normativa/EN IEC 62351-3-2023.pdf</x:v>
      </x:c>
      <x:c r="W162" s="5" t="str"/>
    </x:row>
    <x:row r="163" ht="36" customHeight="1">
      <x:c r="A163" s="5" t="str">
        <x:v>TLS-13-EXT-08-03</x:v>
      </x:c>
      <x:c r="B163" s="5" t="str">
        <x:v>13-EXT-08</x:v>
      </x:c>
      <x:c r="C163" s="5" t="str">
        <x:v>TLS1.3 stapled OCSP</x:v>
      </x:c>
      <x:c r="D163" s="5" t="str">
        <x:v>Support server request for client OCSP using empty status_request in CertificateRequest</x:v>
      </x:c>
      <x:c r="E163" s="5" t="str">
        <x:v>Conditional mandatory</x:v>
      </x:c>
      <x:c r="F163" s="5" t="str">
        <x:v>TLS1.3 support selected</x:v>
      </x:c>
      <x:c r="G163" s="5" t="str"/>
      <x:c r="H163" s="5" t="str">
        <x:v>8.8.10</x:v>
      </x:c>
      <x:c r="I163" s="5" t="str">
        <x:v>45</x:v>
      </x:c>
      <x:c r="J163" s="5" t="str">
        <x:v>37</x:v>
      </x:c>
      <x:c r="K163" s="5" t="str">
        <x:v>apps/ccli/adapters/iec61850_mms/mms_adapter.cpp; mms_rbac_security.cpp; adapters/iec60870_104/iec104_tls.cpp; core/config/ccli_config.hpp</x:v>
      </x:c>
      <x:c r="L163" s="5" t="str">
        <x:v>HiTEKS security/PKI lead</x:v>
      </x:c>
      <x:c r="M163" s="5" t="str">
        <x:v>Existing implementation area; requirement acceptance open</x:v>
      </x:c>
      <x:c r="N163" s="5" t="str">
        <x:v>Not demonstrated</x:v>
      </x:c>
      <x:c r="O163" s="5" t="str">
        <x:v>Positive and negative identity/trust/revocation tests on both claimed protocol endpoints. Verify: Support server request for client OCSP using empty status_request in CertificateRequest.</x:v>
      </x:c>
      <x:c r="P163" s="10" t="str"/>
      <x:c r="Q163" s="10" t="str">
        <x:v>Open</x:v>
      </x:c>
      <x:c r="R163" s="10" t="str"/>
      <x:c r="S163" s="10" t="str"/>
      <x:c r="T163" s="10" t="str"/>
      <x:c r="U163" s="5" t="str">
        <x:f>IF(Q163="Closed",IF(AND(R163&lt;&gt;"",S163&lt;&gt;""),"Closed recorded","Missing evidence/reviewer"),IF(Q163="N/A approved",IF(AND(T163&lt;&gt;"",S163&lt;&gt;""),"N/A recorded","Missing applicability approval"),"Open"))</x:f>
        <x:v>Open</x:v>
      </x:c>
      <x:c r="V163" s="5" t="str">
        <x:v>Normativa/EN IEC 62351-3-2023.pdf</x:v>
      </x:c>
      <x:c r="W163" s="5" t="str"/>
    </x:row>
    <x:row r="164" ht="36" customHeight="1">
      <x:c r="A164" s="5" t="str">
        <x:v>TLS-PIN-01-01</x:v>
      </x:c>
      <x:c r="B164" s="5" t="str">
        <x:v>PIN-01</x:v>
      </x:c>
      <x:c r="C164" s="5" t="str">
        <x:v>Certificate authorization lists</x:v>
      </x:c>
      <x:c r="D164" s="5" t="str">
        <x:v>Build authorization lists using both certificate serial number and issuer, according to IEC62351-9 CertAVL</x:v>
      </x:c>
      <x:c r="E164" s="5" t="str">
        <x:v>Conditional mandatory</x:v>
      </x:c>
      <x:c r="F164" s="5" t="str">
        <x:v>Optional authorization lists implemented</x:v>
      </x:c>
      <x:c r="G164" s="5" t="str"/>
      <x:c r="H164" s="5" t="str">
        <x:v>9</x:v>
      </x:c>
      <x:c r="I164" s="5" t="str">
        <x:v>46</x:v>
      </x:c>
      <x:c r="J164" s="5" t="str">
        <x:v>38</x:v>
      </x:c>
      <x:c r="K164" s="5" t="str">
        <x:v>apps/ccli/adapters/iec61850_mms/mms_adapter.cpp; mms_rbac_security.cpp; adapters/iec60870_104/iec104_tls.cpp; core/config/ccli_config.hpp</x:v>
      </x:c>
      <x:c r="L164" s="5" t="str">
        <x:v>HiTEKS security/PKI lead</x:v>
      </x:c>
      <x:c r="M164" s="5" t="str">
        <x:v>Existing implementation area; requirement acceptance open</x:v>
      </x:c>
      <x:c r="N164" s="5" t="str">
        <x:v>Not demonstrated</x:v>
      </x:c>
      <x:c r="O164" s="5" t="str">
        <x:v>Positive and negative identity/trust/revocation tests on both claimed protocol endpoints. Verify: Build authorization lists using both certificate serial number and issuer, according to IEC62351-9 CertAVL.</x:v>
      </x:c>
      <x:c r="P164" s="10" t="str"/>
      <x:c r="Q164" s="10" t="str">
        <x:v>Open</x:v>
      </x:c>
      <x:c r="R164" s="10" t="str"/>
      <x:c r="S164" s="10" t="str"/>
      <x:c r="T164" s="10" t="str"/>
      <x:c r="U164" s="5" t="str">
        <x:f>IF(Q164="Closed",IF(AND(R164&lt;&gt;"",S164&lt;&gt;""),"Closed recorded","Missing evidence/reviewer"),IF(Q164="N/A approved",IF(AND(T164&lt;&gt;"",S164&lt;&gt;""),"N/A recorded","Missing applicability approval"),"Open"))</x:f>
        <x:v>Open</x:v>
      </x:c>
      <x:c r="V164" s="5" t="str">
        <x:v>Normativa/EN IEC 62351-3-2023.pdf</x:v>
      </x:c>
      <x:c r="W164" s="5" t="str"/>
    </x:row>
    <x:row r="165" ht="36" customHeight="1">
      <x:c r="A165" s="5" t="str">
        <x:v>TLS-CONF-01-01</x:v>
      </x:c>
      <x:c r="B165" s="5" t="str">
        <x:v>CONF-01</x:v>
      </x:c>
      <x:c r="C165" s="5" t="str">
        <x:v>Implementation declaration</x:v>
      </x:c>
      <x:c r="D165" s="5" t="str">
        <x:v>Declare client/server support for each applicable mandatory/conditional/optional/excluded item</x:v>
      </x:c>
      <x:c r="E165" s="5" t="str">
        <x:v>Mandatory</x:v>
      </x:c>
      <x:c r="F165" s="5" t="str">
        <x:v>Conformance claim</x:v>
      </x:c>
      <x:c r="G165" s="5" t="str"/>
      <x:c r="H165" s="5" t="str">
        <x:v>10.1-10.6;Tables7-20</x:v>
      </x:c>
      <x:c r="I165" s="5" t="str">
        <x:v>46-53</x:v>
      </x:c>
      <x:c r="J165" s="5" t="str">
        <x:v>38,45</x:v>
      </x:c>
      <x:c r="K165" s="5" t="str">
        <x:v>apps/ccli/tests/unit; apps/ccli/tests/integration; lab/conformance; lab/evidence; independent-test records required</x:v>
      </x:c>
      <x:c r="L165" s="5" t="str">
        <x:v>Independent QA/security test lead</x:v>
      </x:c>
      <x:c r="M165" s="5" t="str">
        <x:v>Not demonstrated</x:v>
      </x:c>
      <x:c r="N165" s="5" t="str">
        <x:v>Not demonstrated</x:v>
      </x:c>
      <x:c r="O165" s="5" t="str">
        <x:v>Versioned test plan, raw positive/negative results, tester independence and closed defects. Verify: Declare client/server support for each applicable mandatory/conditional/optional/excluded item.</x:v>
      </x:c>
      <x:c r="P165" s="10" t="str"/>
      <x:c r="Q165" s="10" t="str">
        <x:v>Open</x:v>
      </x:c>
      <x:c r="R165" s="10" t="str"/>
      <x:c r="S165" s="10" t="str"/>
      <x:c r="T165" s="10" t="str"/>
      <x:c r="U165" s="5" t="str">
        <x:f>IF(Q165="Closed",IF(AND(R165&lt;&gt;"",S165&lt;&gt;""),"Closed recorded","Missing evidence/reviewer"),IF(Q165="N/A approved",IF(AND(T165&lt;&gt;"",S165&lt;&gt;""),"N/A recorded","Missing applicability approval"),"Open"))</x:f>
        <x:v>Open</x:v>
      </x:c>
      <x:c r="V165" s="5" t="str">
        <x:v>Normativa/EN IEC 62351-3-2023.pdf</x:v>
      </x:c>
      <x:c r="W165" s="5" t="str"/>
    </x:row>
    <x:row r="166" ht="47" customHeight="1">
      <x:c r="A166" s="5" t="str">
        <x:v>TLS-CONF-01-02</x:v>
      </x:c>
      <x:c r="B166" s="5" t="str">
        <x:v>CONF-01</x:v>
      </x:c>
      <x:c r="C166" s="5" t="str">
        <x:v>Implementation declaration</x:v>
      </x:c>
      <x:c r="D166" s="5" t="str">
        <x:v>Keep declared supported versions, certificates, algorithms, extensions and session features consistent with tested product</x:v>
      </x:c>
      <x:c r="E166" s="5" t="str">
        <x:v>Mandatory</x:v>
      </x:c>
      <x:c r="F166" s="5" t="str">
        <x:v>Conformance claim</x:v>
      </x:c>
      <x:c r="G166" s="5" t="str"/>
      <x:c r="H166" s="5" t="str">
        <x:v>10.1-10.6;Tables7-20</x:v>
      </x:c>
      <x:c r="I166" s="5" t="str">
        <x:v>46-53</x:v>
      </x:c>
      <x:c r="J166" s="5" t="str">
        <x:v>38,45</x:v>
      </x:c>
      <x:c r="K166" s="5" t="str">
        <x:v>apps/ccli/tests/unit; apps/ccli/tests/integration; lab/conformance; lab/evidence; independent-test records required</x:v>
      </x:c>
      <x:c r="L166" s="5" t="str">
        <x:v>Independent QA/security test lead</x:v>
      </x:c>
      <x:c r="M166" s="5" t="str">
        <x:v>Not demonstrated</x:v>
      </x:c>
      <x:c r="N166" s="5" t="str">
        <x:v>Not demonstrated</x:v>
      </x:c>
      <x:c r="O166" s="5" t="str">
        <x:v>Versioned test plan, raw positive/negative results, tester independence and closed defects. Verify: Keep declared supported versions, certificates, algorithms, extensions and session features consistent with tested product.</x:v>
      </x:c>
      <x:c r="P166" s="10" t="str"/>
      <x:c r="Q166" s="10" t="str">
        <x:v>Open</x:v>
      </x:c>
      <x:c r="R166" s="10" t="str"/>
      <x:c r="S166" s="10" t="str"/>
      <x:c r="T166" s="10" t="str"/>
      <x:c r="U166" s="5" t="str">
        <x:f>IF(Q166="Closed",IF(AND(R166&lt;&gt;"",S166&lt;&gt;""),"Closed recorded","Missing evidence/reviewer"),IF(Q166="N/A approved",IF(AND(T166&lt;&gt;"",S166&lt;&gt;""),"N/A recorded","Missing applicability approval"),"Open"))</x:f>
        <x:v>Open</x:v>
      </x:c>
      <x:c r="V166" s="5" t="str">
        <x:v>Normativa/EN IEC 62351-3-2023.pdf</x:v>
      </x:c>
      <x:c r="W166" s="5" t="str"/>
    </x:row>
    <x:row r="167" ht="36" customHeight="1">
      <x:c r="A167" s="5" t="str">
        <x:v>TLS-CONF-01-03</x:v>
      </x:c>
      <x:c r="B167" s="5" t="str">
        <x:v>CONF-01</x:v>
      </x:c>
      <x:c r="C167" s="5" t="str">
        <x:v>Implementation declaration</x:v>
      </x:c>
      <x:c r="D167" s="5" t="str">
        <x:v>Do not declare excluded features supported</x:v>
      </x:c>
      <x:c r="E167" s="5" t="str">
        <x:v>Mandatory</x:v>
      </x:c>
      <x:c r="F167" s="5" t="str">
        <x:v>Conformance claim</x:v>
      </x:c>
      <x:c r="G167" s="5" t="str"/>
      <x:c r="H167" s="5" t="str">
        <x:v>10.1-10.6;Tables7-20</x:v>
      </x:c>
      <x:c r="I167" s="5" t="str">
        <x:v>46-53</x:v>
      </x:c>
      <x:c r="J167" s="5" t="str">
        <x:v>38,45</x:v>
      </x:c>
      <x:c r="K167" s="5" t="str">
        <x:v>apps/ccli/tests/unit; apps/ccli/tests/integration; lab/conformance; lab/evidence; independent-test records required</x:v>
      </x:c>
      <x:c r="L167" s="5" t="str">
        <x:v>Independent QA/security test lead</x:v>
      </x:c>
      <x:c r="M167" s="5" t="str">
        <x:v>Not demonstrated</x:v>
      </x:c>
      <x:c r="N167" s="5" t="str">
        <x:v>Not demonstrated</x:v>
      </x:c>
      <x:c r="O167" s="5" t="str">
        <x:v>Versioned test plan, raw positive/negative results, tester independence and closed defects. Verify: Do not declare excluded features supported.</x:v>
      </x:c>
      <x:c r="P167" s="10" t="str"/>
      <x:c r="Q167" s="10" t="str">
        <x:v>Open</x:v>
      </x:c>
      <x:c r="R167" s="10" t="str"/>
      <x:c r="S167" s="10" t="str"/>
      <x:c r="T167" s="10" t="str"/>
      <x:c r="U167" s="5" t="str">
        <x:f>IF(Q167="Closed",IF(AND(R167&lt;&gt;"",S167&lt;&gt;""),"Closed recorded","Missing evidence/reviewer"),IF(Q167="N/A approved",IF(AND(T167&lt;&gt;"",S167&lt;&gt;""),"N/A recorded","Missing applicability approval"),"Open"))</x:f>
        <x:v>Open</x:v>
      </x:c>
      <x:c r="V167" s="5" t="str">
        <x:v>Normativa/EN IEC 62351-3-2023.pdf</x:v>
      </x:c>
      <x:c r="W167" s="5" t="str"/>
    </x:row>
    <x:row r="168" ht="47" customHeight="1">
      <x:c r="A168" s="5" t="str">
        <x:v>TLS-12-SUITE-0x003B-01</x:v>
      </x:c>
      <x:c r="B168" s="5" t="str">
        <x:v>12-SUITE-0x003B</x:v>
      </x:c>
      <x:c r="C168" s="5" t="str">
        <x:v>TLS_RSA_WITH_NULL_SHA256</x:v>
      </x:c>
      <x:c r="D168" s="5" t="str">
        <x:v>Support TLS_RSA_WITH_NULL_SHA256 (0x003B) with explicit enabling only; disabled by default</x:v>
      </x:c>
      <x:c r="E168" s="5" t="str">
        <x:v>Conditional optional</x:v>
      </x:c>
      <x:c r="F168" s="5" t="str">
        <x:v>TLS1.2; optional/conditional suite only if selected by policy</x:v>
      </x:c>
      <x:c r="G168" s="5" t="str"/>
      <x:c r="H168" s="5" t="str">
        <x:v>7.2;10.5.1;Tables1,9</x:v>
      </x:c>
      <x:c r="I168" s="5" t="str">
        <x:v>29,48</x:v>
      </x:c>
      <x:c r="J168" s="5" t="str">
        <x:v>21,40</x:v>
      </x:c>
      <x:c r="K168" s="5" t="str">
        <x:v>apps/ccli/third_party/libiec61850/hal/tls/mbedtls3; adapters/iec61850_mms/mms_adapter.cpp; adapters/iec60870_104/iec104_tls.cpp; cmake/tls_allowlist_validation.cmake</x:v>
      </x:c>
      <x:c r="L168" s="5" t="str">
        <x:v>HiTEKS security + Tespro platform</x:v>
      </x:c>
      <x:c r="M168" s="5" t="str">
        <x:v>Existing implementation area; requirement acceptance open</x:v>
      </x:c>
      <x:c r="N168" s="5" t="str">
        <x:v>Not demonstrated</x:v>
      </x:c>
      <x:c r="O168" s="5" t="str">
        <x:v>Force this exact IANA suite on the frozen build using compatible certificate/key; retain negotiation and rejection/default-policy evidence. Verify: Support TLS_RSA_WITH_NULL_SHA256 (0x003B) with explicit enabling only; disabled by default.</x:v>
      </x:c>
      <x:c r="P168" s="10" t="str"/>
      <x:c r="Q168" s="10" t="str">
        <x:v>Open</x:v>
      </x:c>
      <x:c r="R168" s="10" t="str"/>
      <x:c r="S168" s="10" t="str"/>
      <x:c r="T168" s="10" t="str"/>
      <x:c r="U168" s="5" t="str">
        <x:f>IF(Q168="Closed",IF(AND(R168&lt;&gt;"",S168&lt;&gt;""),"Closed recorded","Missing evidence/reviewer"),IF(Q168="N/A approved",IF(AND(T168&lt;&gt;"",S168&lt;&gt;""),"N/A recorded","Missing applicability approval"),"Open"))</x:f>
        <x:v>Open</x:v>
      </x:c>
      <x:c r="V168" s="5" t="str">
        <x:v>Normativa/EN IEC 62351-3-2023.pdf</x:v>
      </x:c>
      <x:c r="W168" s="5" t="str"/>
    </x:row>
    <x:row r="169" ht="36" customHeight="1">
      <x:c r="A169" s="5" t="str">
        <x:v>TLS-12-SUITE-0x003C-01</x:v>
      </x:c>
      <x:c r="B169" s="5" t="str">
        <x:v>12-SUITE-0x003C</x:v>
      </x:c>
      <x:c r="C169" s="5" t="str">
        <x:v>TLS_RSA_WITH_AES_128_CBC_SHA256</x:v>
      </x:c>
      <x:c r="D169" s="5" t="str">
        <x:v>Support TLS_RSA_WITH_AES_128_CBC_SHA256 (0x003C)</x:v>
      </x:c>
      <x:c r="E169" s="5" t="str">
        <x:v>Mandatory</x:v>
      </x:c>
      <x:c r="F169" s="5" t="str">
        <x:v>TLS1.2 claimed; required support capability; document operational policy separately</x:v>
      </x:c>
      <x:c r="G169" s="5" t="str"/>
      <x:c r="H169" s="5" t="str">
        <x:v>7.2;10.5.1;Tables1,9</x:v>
      </x:c>
      <x:c r="I169" s="5" t="str">
        <x:v>29,48</x:v>
      </x:c>
      <x:c r="J169" s="5" t="str">
        <x:v>21,40</x:v>
      </x:c>
      <x:c r="K169" s="5" t="str">
        <x:v>apps/ccli/third_party/libiec61850/hal/tls/mbedtls3; adapters/iec61850_mms/mms_adapter.cpp; adapters/iec60870_104/iec104_tls.cpp; cmake/tls_allowlist_validation.cmake</x:v>
      </x:c>
      <x:c r="L169" s="5" t="str">
        <x:v>HiTEKS security + Tespro platform</x:v>
      </x:c>
      <x:c r="M169" s="5" t="str">
        <x:v>Existing implementation area; requirement acceptance open</x:v>
      </x:c>
      <x:c r="N169" s="5" t="str">
        <x:v>Not demonstrated</x:v>
      </x:c>
      <x:c r="O169" s="5" t="str">
        <x:v>Force this exact IANA suite on the frozen build using compatible certificate/key; retain negotiation and rejection/default-policy evidence. Verify: Support TLS_RSA_WITH_AES_128_CBC_SHA256 (0x003C).</x:v>
      </x:c>
      <x:c r="P169" s="10" t="str"/>
      <x:c r="Q169" s="10" t="str">
        <x:v>Open</x:v>
      </x:c>
      <x:c r="R169" s="10" t="str"/>
      <x:c r="S169" s="10" t="str"/>
      <x:c r="T169" s="10" t="str"/>
      <x:c r="U169" s="5" t="str">
        <x:f>IF(Q169="Closed",IF(AND(R169&lt;&gt;"",S169&lt;&gt;""),"Closed recorded","Missing evidence/reviewer"),IF(Q169="N/A approved",IF(AND(T169&lt;&gt;"",S169&lt;&gt;""),"N/A recorded","Missing applicability approval"),"Open"))</x:f>
        <x:v>Open</x:v>
      </x:c>
      <x:c r="V169" s="5" t="str">
        <x:v>Normativa/EN IEC 62351-3-2023.pdf</x:v>
      </x:c>
      <x:c r="W169" s="5" t="str"/>
    </x:row>
    <x:row r="170" ht="36" customHeight="1">
      <x:c r="A170" s="5" t="str">
        <x:v>TLS-12-SUITE-0x009E-01</x:v>
      </x:c>
      <x:c r="B170" s="5" t="str">
        <x:v>12-SUITE-0x009E</x:v>
      </x:c>
      <x:c r="C170" s="5" t="str">
        <x:v>TLS_DHE_RSA_WITH_AES_128_GCM_SHA256</x:v>
      </x:c>
      <x:c r="D170" s="5" t="str">
        <x:v>Support TLS_DHE_RSA_WITH_AES_128_GCM_SHA256 (0x009E)</x:v>
      </x:c>
      <x:c r="E170" s="5" t="str">
        <x:v>Mandatory</x:v>
      </x:c>
      <x:c r="F170" s="5" t="str">
        <x:v>TLS1.2 claimed; required support capability; document operational policy separately</x:v>
      </x:c>
      <x:c r="G170" s="5" t="str"/>
      <x:c r="H170" s="5" t="str">
        <x:v>7.2;10.5.1;Tables1,9</x:v>
      </x:c>
      <x:c r="I170" s="5" t="str">
        <x:v>29,48</x:v>
      </x:c>
      <x:c r="J170" s="5" t="str">
        <x:v>21,40</x:v>
      </x:c>
      <x:c r="K170" s="5" t="str">
        <x:v>apps/ccli/third_party/libiec61850/hal/tls/mbedtls3; adapters/iec61850_mms/mms_adapter.cpp; adapters/iec60870_104/iec104_tls.cpp; cmake/tls_allowlist_validation.cmake</x:v>
      </x:c>
      <x:c r="L170" s="5" t="str">
        <x:v>HiTEKS security + Tespro platform</x:v>
      </x:c>
      <x:c r="M170" s="5" t="str">
        <x:v>Existing implementation area; requirement acceptance open</x:v>
      </x:c>
      <x:c r="N170" s="5" t="str">
        <x:v>Not demonstrated</x:v>
      </x:c>
      <x:c r="O170" s="5" t="str">
        <x:v>Force this exact IANA suite on the frozen build using compatible certificate/key; retain negotiation and rejection/default-policy evidence. Verify: Support TLS_DHE_RSA_WITH_AES_128_GCM_SHA256 (0x009E).</x:v>
      </x:c>
      <x:c r="P170" s="10" t="str"/>
      <x:c r="Q170" s="10" t="str">
        <x:v>Open</x:v>
      </x:c>
      <x:c r="R170" s="10" t="str"/>
      <x:c r="S170" s="10" t="str"/>
      <x:c r="T170" s="10" t="str"/>
      <x:c r="U170" s="5" t="str">
        <x:f>IF(Q170="Closed",IF(AND(R170&lt;&gt;"",S170&lt;&gt;""),"Closed recorded","Missing evidence/reviewer"),IF(Q170="N/A approved",IF(AND(T170&lt;&gt;"",S170&lt;&gt;""),"N/A recorded","Missing applicability approval"),"Open"))</x:f>
        <x:v>Open</x:v>
      </x:c>
      <x:c r="V170" s="5" t="str">
        <x:v>Normativa/EN IEC 62351-3-2023.pdf</x:v>
      </x:c>
      <x:c r="W170" s="5" t="str"/>
    </x:row>
    <x:row r="171" ht="47" customHeight="1">
      <x:c r="A171" s="5" t="str">
        <x:v>TLS-12-SUITE-0x009F-01</x:v>
      </x:c>
      <x:c r="B171" s="5" t="str">
        <x:v>12-SUITE-0x009F</x:v>
      </x:c>
      <x:c r="C171" s="5" t="str">
        <x:v>TLS_DHE_RSA_WITH_AES_256_GCM_SHA384</x:v>
      </x:c>
      <x:c r="D171" s="5" t="str">
        <x:v>Support TLS_DHE_RSA_WITH_AES_256_GCM_SHA384 (0x009F)</x:v>
      </x:c>
      <x:c r="E171" s="5" t="str">
        <x:v>Optional</x:v>
      </x:c>
      <x:c r="F171" s="5" t="str">
        <x:v>TLS1.2; optional/conditional suite only if selected by policy</x:v>
      </x:c>
      <x:c r="G171" s="5" t="str"/>
      <x:c r="H171" s="5" t="str">
        <x:v>7.2;10.5.1;Tables1,9</x:v>
      </x:c>
      <x:c r="I171" s="5" t="str">
        <x:v>29,48</x:v>
      </x:c>
      <x:c r="J171" s="5" t="str">
        <x:v>21,40</x:v>
      </x:c>
      <x:c r="K171" s="5" t="str">
        <x:v>apps/ccli/third_party/libiec61850/hal/tls/mbedtls3; adapters/iec61850_mms/mms_adapter.cpp; adapters/iec60870_104/iec104_tls.cpp; cmake/tls_allowlist_validation.cmake</x:v>
      </x:c>
      <x:c r="L171" s="5" t="str">
        <x:v>HiTEKS security + Tespro platform</x:v>
      </x:c>
      <x:c r="M171" s="5" t="str">
        <x:v>Existing implementation area; requirement acceptance open</x:v>
      </x:c>
      <x:c r="N171" s="5" t="str">
        <x:v>Not demonstrated</x:v>
      </x:c>
      <x:c r="O171" s="5" t="str">
        <x:v>Force this exact IANA suite on the frozen build using compatible certificate/key; retain negotiation and rejection/default-policy evidence. Verify: Support TLS_DHE_RSA_WITH_AES_256_GCM_SHA384 (0x009F).</x:v>
      </x:c>
      <x:c r="P171" s="10" t="str"/>
      <x:c r="Q171" s="10" t="str">
        <x:v>Open</x:v>
      </x:c>
      <x:c r="R171" s="10" t="str"/>
      <x:c r="S171" s="10" t="str"/>
      <x:c r="T171" s="10" t="str"/>
      <x:c r="U171" s="5" t="str">
        <x:f>IF(Q171="Closed",IF(AND(R171&lt;&gt;"",S171&lt;&gt;""),"Closed recorded","Missing evidence/reviewer"),IF(Q171="N/A approved",IF(AND(T171&lt;&gt;"",S171&lt;&gt;""),"N/A recorded","Missing applicability approval"),"Open"))</x:f>
        <x:v>Open</x:v>
      </x:c>
      <x:c r="V171" s="5" t="str">
        <x:v>Normativa/EN IEC 62351-3-2023.pdf</x:v>
      </x:c>
      <x:c r="W171" s="5" t="str">
        <x:v>Source Table1 displays0x00A1 beside DHE_RSA_AES256_GCM_SHA384; IANA/RFC5288 map the named DHE suite to0x009F (0x00A1 is static DH_RSA). Preserve discrepancy for lab resolution. https://www.iana.org/assignments/tls-parameters</x:v>
      </x:c>
    </x:row>
    <x:row r="172" ht="36" customHeight="1">
      <x:c r="A172" s="5" t="str">
        <x:v>TLS-12-SUITE-0xC02F-01</x:v>
      </x:c>
      <x:c r="B172" s="5" t="str">
        <x:v>12-SUITE-0xC02F</x:v>
      </x:c>
      <x:c r="C172" s="5" t="str">
        <x:v>TLS_ECDHE_RSA_WITH_AES_128_GCM_SHA256</x:v>
      </x:c>
      <x:c r="D172" s="5" t="str">
        <x:v>Support TLS_ECDHE_RSA_WITH_AES_128_GCM_SHA256 (0xC02F)</x:v>
      </x:c>
      <x:c r="E172" s="5" t="str">
        <x:v>Mandatory</x:v>
      </x:c>
      <x:c r="F172" s="5" t="str">
        <x:v>TLS1.2 claimed; required support capability; document operational policy separately</x:v>
      </x:c>
      <x:c r="G172" s="5" t="str"/>
      <x:c r="H172" s="5" t="str">
        <x:v>7.2;10.5.1;Tables1,9</x:v>
      </x:c>
      <x:c r="I172" s="5" t="str">
        <x:v>29,48</x:v>
      </x:c>
      <x:c r="J172" s="5" t="str">
        <x:v>21,40</x:v>
      </x:c>
      <x:c r="K172" s="5" t="str">
        <x:v>apps/ccli/third_party/libiec61850/hal/tls/mbedtls3; adapters/iec61850_mms/mms_adapter.cpp; adapters/iec60870_104/iec104_tls.cpp; cmake/tls_allowlist_validation.cmake</x:v>
      </x:c>
      <x:c r="L172" s="5" t="str">
        <x:v>HiTEKS security + Tespro platform</x:v>
      </x:c>
      <x:c r="M172" s="5" t="str">
        <x:v>Existing implementation area; requirement acceptance open</x:v>
      </x:c>
      <x:c r="N172" s="5" t="str">
        <x:v>Not demonstrated</x:v>
      </x:c>
      <x:c r="O172" s="5" t="str">
        <x:v>Force this exact IANA suite on the frozen build using compatible certificate/key; retain negotiation and rejection/default-policy evidence. Verify: Support TLS_ECDHE_RSA_WITH_AES_128_GCM_SHA256 (0xC02F).</x:v>
      </x:c>
      <x:c r="P172" s="10" t="str"/>
      <x:c r="Q172" s="10" t="str">
        <x:v>Open</x:v>
      </x:c>
      <x:c r="R172" s="10" t="str"/>
      <x:c r="S172" s="10" t="str"/>
      <x:c r="T172" s="10" t="str"/>
      <x:c r="U172" s="5" t="str">
        <x:f>IF(Q172="Closed",IF(AND(R172&lt;&gt;"",S172&lt;&gt;""),"Closed recorded","Missing evidence/reviewer"),IF(Q172="N/A approved",IF(AND(T172&lt;&gt;"",S172&lt;&gt;""),"N/A recorded","Missing applicability approval"),"Open"))</x:f>
        <x:v>Open</x:v>
      </x:c>
      <x:c r="V172" s="5" t="str">
        <x:v>Normativa/EN IEC 62351-3-2023.pdf</x:v>
      </x:c>
      <x:c r="W172" s="5" t="str"/>
    </x:row>
    <x:row r="173" ht="36" customHeight="1">
      <x:c r="A173" s="5" t="str">
        <x:v>TLS-12-SUITE-0xC030-01</x:v>
      </x:c>
      <x:c r="B173" s="5" t="str">
        <x:v>12-SUITE-0xC030</x:v>
      </x:c>
      <x:c r="C173" s="5" t="str">
        <x:v>TLS_ECDHE_RSA_WITH_AES_256_GCM_SHA384</x:v>
      </x:c>
      <x:c r="D173" s="5" t="str">
        <x:v>Support TLS_ECDHE_RSA_WITH_AES_256_GCM_SHA384 (0xC030)</x:v>
      </x:c>
      <x:c r="E173" s="5" t="str">
        <x:v>Optional</x:v>
      </x:c>
      <x:c r="F173" s="5" t="str">
        <x:v>TLS1.2; optional/conditional suite only if selected by policy</x:v>
      </x:c>
      <x:c r="G173" s="5" t="str"/>
      <x:c r="H173" s="5" t="str">
        <x:v>7.2;10.5.1;Tables1,9</x:v>
      </x:c>
      <x:c r="I173" s="5" t="str">
        <x:v>29,48</x:v>
      </x:c>
      <x:c r="J173" s="5" t="str">
        <x:v>21,40</x:v>
      </x:c>
      <x:c r="K173" s="5" t="str">
        <x:v>apps/ccli/third_party/libiec61850/hal/tls/mbedtls3; adapters/iec61850_mms/mms_adapter.cpp; adapters/iec60870_104/iec104_tls.cpp; cmake/tls_allowlist_validation.cmake</x:v>
      </x:c>
      <x:c r="L173" s="5" t="str">
        <x:v>HiTEKS security + Tespro platform</x:v>
      </x:c>
      <x:c r="M173" s="5" t="str">
        <x:v>Existing implementation area; requirement acceptance open</x:v>
      </x:c>
      <x:c r="N173" s="5" t="str">
        <x:v>Not demonstrated</x:v>
      </x:c>
      <x:c r="O173" s="5" t="str">
        <x:v>Force this exact IANA suite on the frozen build using compatible certificate/key; retain negotiation and rejection/default-policy evidence. Verify: Support TLS_ECDHE_RSA_WITH_AES_256_GCM_SHA384 (0xC030).</x:v>
      </x:c>
      <x:c r="P173" s="10" t="str"/>
      <x:c r="Q173" s="10" t="str">
        <x:v>Open</x:v>
      </x:c>
      <x:c r="R173" s="10" t="str"/>
      <x:c r="S173" s="10" t="str"/>
      <x:c r="T173" s="10" t="str"/>
      <x:c r="U173" s="5" t="str">
        <x:f>IF(Q173="Closed",IF(AND(R173&lt;&gt;"",S173&lt;&gt;""),"Closed recorded","Missing evidence/reviewer"),IF(Q173="N/A approved",IF(AND(T173&lt;&gt;"",S173&lt;&gt;""),"N/A recorded","Missing applicability approval"),"Open"))</x:f>
        <x:v>Open</x:v>
      </x:c>
      <x:c r="V173" s="5" t="str">
        <x:v>Normativa/EN IEC 62351-3-2023.pdf</x:v>
      </x:c>
      <x:c r="W173" s="5" t="str"/>
    </x:row>
    <x:row r="174" ht="36" customHeight="1">
      <x:c r="A174" s="5" t="str">
        <x:v>TLS-12-SUITE-0xC02B-01</x:v>
      </x:c>
      <x:c r="B174" s="5" t="str">
        <x:v>12-SUITE-0xC02B</x:v>
      </x:c>
      <x:c r="C174" s="5" t="str">
        <x:v>TLS_ECDHE_ECDSA_WITH_AES_128_GCM_SHA256</x:v>
      </x:c>
      <x:c r="D174" s="5" t="str">
        <x:v>Support TLS_ECDHE_ECDSA_WITH_AES_128_GCM_SHA256 (0xC02B)</x:v>
      </x:c>
      <x:c r="E174" s="5" t="str">
        <x:v>Mandatory</x:v>
      </x:c>
      <x:c r="F174" s="5" t="str">
        <x:v>TLS1.2 claimed; required support capability; document operational policy separately</x:v>
      </x:c>
      <x:c r="G174" s="5" t="str"/>
      <x:c r="H174" s="5" t="str">
        <x:v>7.2;10.5.1;Tables1,9</x:v>
      </x:c>
      <x:c r="I174" s="5" t="str">
        <x:v>29,48</x:v>
      </x:c>
      <x:c r="J174" s="5" t="str">
        <x:v>21,40</x:v>
      </x:c>
      <x:c r="K174" s="5" t="str">
        <x:v>apps/ccli/third_party/libiec61850/hal/tls/mbedtls3; adapters/iec61850_mms/mms_adapter.cpp; adapters/iec60870_104/iec104_tls.cpp; cmake/tls_allowlist_validation.cmake</x:v>
      </x:c>
      <x:c r="L174" s="5" t="str">
        <x:v>HiTEKS security + Tespro platform</x:v>
      </x:c>
      <x:c r="M174" s="5" t="str">
        <x:v>Gap: mandatory ECDSA_AES128_GCM suite absent from reviewed backend default list</x:v>
      </x:c>
      <x:c r="N174" s="5" t="str">
        <x:v>Not demonstrated</x:v>
      </x:c>
      <x:c r="O174" s="5" t="str">
        <x:v>Force this exact IANA suite on the frozen build using compatible certificate/key; retain negotiation and rejection/default-policy evidence. Verify: Support TLS_ECDHE_ECDSA_WITH_AES_128_GCM_SHA256 (0xC02B).</x:v>
      </x:c>
      <x:c r="P174" s="10" t="str"/>
      <x:c r="Q174" s="10" t="str">
        <x:v>Open</x:v>
      </x:c>
      <x:c r="R174" s="10" t="str"/>
      <x:c r="S174" s="10" t="str"/>
      <x:c r="T174" s="10" t="str"/>
      <x:c r="U174" s="5" t="str">
        <x:f>IF(Q174="Closed",IF(AND(R174&lt;&gt;"",S174&lt;&gt;""),"Closed recorded","Missing evidence/reviewer"),IF(Q174="N/A approved",IF(AND(T174&lt;&gt;"",S174&lt;&gt;""),"N/A recorded","Missing applicability approval"),"Open"))</x:f>
        <x:v>Open</x:v>
      </x:c>
      <x:c r="V174" s="5" t="str">
        <x:v>Normativa/EN IEC 62351-3-2023.pdf</x:v>
      </x:c>
      <x:c r="W174" s="5" t="str"/>
    </x:row>
    <x:row r="175" ht="36" customHeight="1">
      <x:c r="A175" s="5" t="str">
        <x:v>TLS-12-SUITE-0xC02C-01</x:v>
      </x:c>
      <x:c r="B175" s="5" t="str">
        <x:v>12-SUITE-0xC02C</x:v>
      </x:c>
      <x:c r="C175" s="5" t="str">
        <x:v>TLS_ECDHE_ECDSA_WITH_AES_256_GCM_SHA384</x:v>
      </x:c>
      <x:c r="D175" s="5" t="str">
        <x:v>Support TLS_ECDHE_ECDSA_WITH_AES_256_GCM_SHA384 (0xC02C)</x:v>
      </x:c>
      <x:c r="E175" s="5" t="str">
        <x:v>Optional</x:v>
      </x:c>
      <x:c r="F175" s="5" t="str">
        <x:v>TLS1.2; optional/conditional suite only if selected by policy</x:v>
      </x:c>
      <x:c r="G175" s="5" t="str"/>
      <x:c r="H175" s="5" t="str">
        <x:v>7.2;10.5.1;Tables1,9</x:v>
      </x:c>
      <x:c r="I175" s="5" t="str">
        <x:v>29,48</x:v>
      </x:c>
      <x:c r="J175" s="5" t="str">
        <x:v>21,40</x:v>
      </x:c>
      <x:c r="K175" s="5" t="str">
        <x:v>apps/ccli/third_party/libiec61850/hal/tls/mbedtls3; adapters/iec61850_mms/mms_adapter.cpp; adapters/iec60870_104/iec104_tls.cpp; cmake/tls_allowlist_validation.cmake</x:v>
      </x:c>
      <x:c r="L175" s="5" t="str">
        <x:v>HiTEKS security + Tespro platform</x:v>
      </x:c>
      <x:c r="M175" s="5" t="str">
        <x:v>Existing implementation area; requirement acceptance open</x:v>
      </x:c>
      <x:c r="N175" s="5" t="str">
        <x:v>Not demonstrated</x:v>
      </x:c>
      <x:c r="O175" s="5" t="str">
        <x:v>Force this exact IANA suite on the frozen build using compatible certificate/key; retain negotiation and rejection/default-policy evidence. Verify: Support TLS_ECDHE_ECDSA_WITH_AES_256_GCM_SHA384 (0xC02C).</x:v>
      </x:c>
      <x:c r="P175" s="10" t="str"/>
      <x:c r="Q175" s="10" t="str">
        <x:v>Open</x:v>
      </x:c>
      <x:c r="R175" s="10" t="str"/>
      <x:c r="S175" s="10" t="str"/>
      <x:c r="T175" s="10" t="str"/>
      <x:c r="U175" s="5" t="str">
        <x:f>IF(Q175="Closed",IF(AND(R175&lt;&gt;"",S175&lt;&gt;""),"Closed recorded","Missing evidence/reviewer"),IF(Q175="N/A approved",IF(AND(T175&lt;&gt;"",S175&lt;&gt;""),"N/A recorded","Missing applicability approval"),"Open"))</x:f>
        <x:v>Open</x:v>
      </x:c>
      <x:c r="V175" s="5" t="str">
        <x:v>Normativa/EN IEC 62351-3-2023.pdf</x:v>
      </x:c>
      <x:c r="W175" s="5" t="str"/>
    </x:row>
    <x:row r="176" ht="36" customHeight="1">
      <x:c r="A176" s="5" t="str">
        <x:v>TLS-13-SUITE-0x1301-01</x:v>
      </x:c>
      <x:c r="B176" s="5" t="str">
        <x:v>13-SUITE-0x1301</x:v>
      </x:c>
      <x:c r="C176" s="5" t="str">
        <x:v>TLS_AES_128_GCM_SHA256</x:v>
      </x:c>
      <x:c r="D176" s="5" t="str">
        <x:v>Support TLS_AES_128_GCM_SHA256 (0x1301)</x:v>
      </x:c>
      <x:c r="E176" s="5" t="str">
        <x:v>Conditional mandatory</x:v>
      </x:c>
      <x:c r="F176" s="5" t="str">
        <x:v>TLS1.3 selected; optional suite only if chosen</x:v>
      </x:c>
      <x:c r="G176" s="5" t="str"/>
      <x:c r="H176" s="5" t="str">
        <x:v>8.2;10.6.1;Tables2,13</x:v>
      </x:c>
      <x:c r="I176" s="5" t="str">
        <x:v>38,50</x:v>
      </x:c>
      <x:c r="J176" s="5" t="str">
        <x:v>30,42</x:v>
      </x:c>
      <x:c r="K176" s="5" t="str">
        <x:v>apps/ccli/third_party/libiec61850/hal/tls/mbedtls3; adapters/iec61850_mms/mms_adapter.cpp; adapters/iec60870_104/iec104_tls.cpp; cmake/tls_allowlist_validation.cmake</x:v>
      </x:c>
      <x:c r="L176" s="5" t="str">
        <x:v>HiTEKS security + Tespro platform</x:v>
      </x:c>
      <x:c r="M176" s="5" t="str">
        <x:v>Existing implementation area; requirement acceptance open</x:v>
      </x:c>
      <x:c r="N176" s="5" t="str">
        <x:v>Not demonstrated</x:v>
      </x:c>
      <x:c r="O176" s="5" t="str">
        <x:v>Force exact TLS1.3 suite; verify negotiated version/algorithm and default prohibition of integrity-only alternatives. Verify: Support TLS_AES_128_GCM_SHA256 (0x1301).</x:v>
      </x:c>
      <x:c r="P176" s="10" t="str"/>
      <x:c r="Q176" s="10" t="str">
        <x:v>Open</x:v>
      </x:c>
      <x:c r="R176" s="10" t="str"/>
      <x:c r="S176" s="10" t="str"/>
      <x:c r="T176" s="10" t="str"/>
      <x:c r="U176" s="5" t="str">
        <x:f>IF(Q176="Closed",IF(AND(R176&lt;&gt;"",S176&lt;&gt;""),"Closed recorded","Missing evidence/reviewer"),IF(Q176="N/A approved",IF(AND(T176&lt;&gt;"",S176&lt;&gt;""),"N/A recorded","Missing applicability approval"),"Open"))</x:f>
        <x:v>Open</x:v>
      </x:c>
      <x:c r="V176" s="5" t="str">
        <x:v>Normativa/EN IEC 62351-3-2023.pdf</x:v>
      </x:c>
      <x:c r="W176" s="5" t="str"/>
    </x:row>
    <x:row r="177" ht="36" customHeight="1">
      <x:c r="A177" s="5" t="str">
        <x:v>TLS-13-SUITE-0x1302-01</x:v>
      </x:c>
      <x:c r="B177" s="5" t="str">
        <x:v>13-SUITE-0x1302</x:v>
      </x:c>
      <x:c r="C177" s="5" t="str">
        <x:v>TLS_AES_256_GCM_SHA384</x:v>
      </x:c>
      <x:c r="D177" s="5" t="str">
        <x:v>Support TLS_AES_256_GCM_SHA384 (0x1302)</x:v>
      </x:c>
      <x:c r="E177" s="5" t="str">
        <x:v>Conditional mandatory</x:v>
      </x:c>
      <x:c r="F177" s="5" t="str">
        <x:v>TLS1.3 selected; optional suite only if chosen</x:v>
      </x:c>
      <x:c r="G177" s="5" t="str"/>
      <x:c r="H177" s="5" t="str">
        <x:v>8.2;10.6.1;Tables2,13</x:v>
      </x:c>
      <x:c r="I177" s="5" t="str">
        <x:v>38,50</x:v>
      </x:c>
      <x:c r="J177" s="5" t="str">
        <x:v>30,42</x:v>
      </x:c>
      <x:c r="K177" s="5" t="str">
        <x:v>apps/ccli/third_party/libiec61850/hal/tls/mbedtls3; adapters/iec61850_mms/mms_adapter.cpp; adapters/iec60870_104/iec104_tls.cpp; cmake/tls_allowlist_validation.cmake</x:v>
      </x:c>
      <x:c r="L177" s="5" t="str">
        <x:v>HiTEKS security + Tespro platform</x:v>
      </x:c>
      <x:c r="M177" s="5" t="str">
        <x:v>Existing implementation area; requirement acceptance open</x:v>
      </x:c>
      <x:c r="N177" s="5" t="str">
        <x:v>Not demonstrated</x:v>
      </x:c>
      <x:c r="O177" s="5" t="str">
        <x:v>Force exact TLS1.3 suite; verify negotiated version/algorithm and default prohibition of integrity-only alternatives. Verify: Support TLS_AES_256_GCM_SHA384 (0x1302).</x:v>
      </x:c>
      <x:c r="P177" s="10" t="str"/>
      <x:c r="Q177" s="10" t="str">
        <x:v>Open</x:v>
      </x:c>
      <x:c r="R177" s="10" t="str"/>
      <x:c r="S177" s="10" t="str"/>
      <x:c r="T177" s="10" t="str"/>
      <x:c r="U177" s="5" t="str">
        <x:f>IF(Q177="Closed",IF(AND(R177&lt;&gt;"",S177&lt;&gt;""),"Closed recorded","Missing evidence/reviewer"),IF(Q177="N/A approved",IF(AND(T177&lt;&gt;"",S177&lt;&gt;""),"N/A recorded","Missing applicability approval"),"Open"))</x:f>
        <x:v>Open</x:v>
      </x:c>
      <x:c r="V177" s="5" t="str">
        <x:v>Normativa/EN IEC 62351-3-2023.pdf</x:v>
      </x:c>
      <x:c r="W177" s="5" t="str"/>
    </x:row>
    <x:row r="178" ht="36" customHeight="1">
      <x:c r="A178" s="5" t="str">
        <x:v>TLS-13-SUITE-0x1303-01</x:v>
      </x:c>
      <x:c r="B178" s="5" t="str">
        <x:v>13-SUITE-0x1303</x:v>
      </x:c>
      <x:c r="C178" s="5" t="str">
        <x:v>TLS_CHACHA20_POLY1305_SHA256</x:v>
      </x:c>
      <x:c r="D178" s="5" t="str">
        <x:v>Support TLS_CHACHA20_POLY1305_SHA256 (0x1303)</x:v>
      </x:c>
      <x:c r="E178" s="5" t="str">
        <x:v>Optional</x:v>
      </x:c>
      <x:c r="F178" s="5" t="str">
        <x:v>TLS1.3 selected; optional suite only if chosen</x:v>
      </x:c>
      <x:c r="G178" s="5" t="str"/>
      <x:c r="H178" s="5" t="str">
        <x:v>8.2;10.6.1;Tables2,13</x:v>
      </x:c>
      <x:c r="I178" s="5" t="str">
        <x:v>38,50</x:v>
      </x:c>
      <x:c r="J178" s="5" t="str">
        <x:v>30,42</x:v>
      </x:c>
      <x:c r="K178" s="5" t="str">
        <x:v>apps/ccli/third_party/libiec61850/hal/tls/mbedtls3; adapters/iec61850_mms/mms_adapter.cpp; adapters/iec60870_104/iec104_tls.cpp; cmake/tls_allowlist_validation.cmake</x:v>
      </x:c>
      <x:c r="L178" s="5" t="str">
        <x:v>HiTEKS security + Tespro platform</x:v>
      </x:c>
      <x:c r="M178" s="5" t="str">
        <x:v>Existing implementation area; requirement acceptance open</x:v>
      </x:c>
      <x:c r="N178" s="5" t="str">
        <x:v>Not demonstrated</x:v>
      </x:c>
      <x:c r="O178" s="5" t="str">
        <x:v>Force exact TLS1.3 suite; verify negotiated version/algorithm and default prohibition of integrity-only alternatives. Verify: Support TLS_CHACHA20_POLY1305_SHA256 (0x1303).</x:v>
      </x:c>
      <x:c r="P178" s="10" t="str"/>
      <x:c r="Q178" s="10" t="str">
        <x:v>Open</x:v>
      </x:c>
      <x:c r="R178" s="10" t="str"/>
      <x:c r="S178" s="10" t="str"/>
      <x:c r="T178" s="10" t="str"/>
      <x:c r="U178" s="5" t="str">
        <x:f>IF(Q178="Closed",IF(AND(R178&lt;&gt;"",S178&lt;&gt;""),"Closed recorded","Missing evidence/reviewer"),IF(Q178="N/A approved",IF(AND(T178&lt;&gt;"",S178&lt;&gt;""),"N/A recorded","Missing applicability approval"),"Open"))</x:f>
        <x:v>Open</x:v>
      </x:c>
      <x:c r="V178" s="5" t="str">
        <x:v>Normativa/EN IEC 62351-3-2023.pdf</x:v>
      </x:c>
      <x:c r="W178" s="5" t="str"/>
    </x:row>
    <x:row r="179" ht="36" customHeight="1">
      <x:c r="A179" s="5" t="str">
        <x:v>TLS-13-SUITE-0x1304-01</x:v>
      </x:c>
      <x:c r="B179" s="5" t="str">
        <x:v>13-SUITE-0x1304</x:v>
      </x:c>
      <x:c r="C179" s="5" t="str">
        <x:v>TLS_AES_128_CCM_SHA256</x:v>
      </x:c>
      <x:c r="D179" s="5" t="str">
        <x:v>Support TLS_AES_128_CCM_SHA256 (0x1304)</x:v>
      </x:c>
      <x:c r="E179" s="5" t="str">
        <x:v>Conditional mandatory</x:v>
      </x:c>
      <x:c r="F179" s="5" t="str">
        <x:v>TLS1.3 selected; optional suite only if chosen</x:v>
      </x:c>
      <x:c r="G179" s="5" t="str"/>
      <x:c r="H179" s="5" t="str">
        <x:v>8.2;10.6.1;Tables2,13</x:v>
      </x:c>
      <x:c r="I179" s="5" t="str">
        <x:v>38,50</x:v>
      </x:c>
      <x:c r="J179" s="5" t="str">
        <x:v>30,42</x:v>
      </x:c>
      <x:c r="K179" s="5" t="str">
        <x:v>apps/ccli/third_party/libiec61850/hal/tls/mbedtls3; adapters/iec61850_mms/mms_adapter.cpp; adapters/iec60870_104/iec104_tls.cpp; cmake/tls_allowlist_validation.cmake</x:v>
      </x:c>
      <x:c r="L179" s="5" t="str">
        <x:v>HiTEKS security + Tespro platform</x:v>
      </x:c>
      <x:c r="M179" s="5" t="str">
        <x:v>Existing implementation area; requirement acceptance open</x:v>
      </x:c>
      <x:c r="N179" s="5" t="str">
        <x:v>Not demonstrated</x:v>
      </x:c>
      <x:c r="O179" s="5" t="str">
        <x:v>Force exact TLS1.3 suite; verify negotiated version/algorithm and default prohibition of integrity-only alternatives. Verify: Support TLS_AES_128_CCM_SHA256 (0x1304).</x:v>
      </x:c>
      <x:c r="P179" s="10" t="str"/>
      <x:c r="Q179" s="10" t="str">
        <x:v>Open</x:v>
      </x:c>
      <x:c r="R179" s="10" t="str"/>
      <x:c r="S179" s="10" t="str"/>
      <x:c r="T179" s="10" t="str"/>
      <x:c r="U179" s="5" t="str">
        <x:f>IF(Q179="Closed",IF(AND(R179&lt;&gt;"",S179&lt;&gt;""),"Closed recorded","Missing evidence/reviewer"),IF(Q179="N/A approved",IF(AND(T179&lt;&gt;"",S179&lt;&gt;""),"N/A recorded","Missing applicability approval"),"Open"))</x:f>
        <x:v>Open</x:v>
      </x:c>
      <x:c r="V179" s="5" t="str">
        <x:v>Normativa/EN IEC 62351-3-2023.pdf</x:v>
      </x:c>
      <x:c r="W179" s="5" t="str"/>
    </x:row>
    <x:row r="180" ht="36" customHeight="1">
      <x:c r="A180" s="5" t="str">
        <x:v>TLS-13-SUITE-0x1305-01</x:v>
      </x:c>
      <x:c r="B180" s="5" t="str">
        <x:v>13-SUITE-0x1305</x:v>
      </x:c>
      <x:c r="C180" s="5" t="str">
        <x:v>TLS_AES_128_CCM_8_SHA256</x:v>
      </x:c>
      <x:c r="D180" s="5" t="str">
        <x:v>Support TLS_AES_128_CCM_8_SHA256 (0x1305)</x:v>
      </x:c>
      <x:c r="E180" s="5" t="str">
        <x:v>Optional</x:v>
      </x:c>
      <x:c r="F180" s="5" t="str">
        <x:v>TLS1.3 selected; optional suite only if chosen</x:v>
      </x:c>
      <x:c r="G180" s="5" t="str"/>
      <x:c r="H180" s="5" t="str">
        <x:v>8.2;10.6.1;Tables2,13</x:v>
      </x:c>
      <x:c r="I180" s="5" t="str">
        <x:v>38,50</x:v>
      </x:c>
      <x:c r="J180" s="5" t="str">
        <x:v>30,42</x:v>
      </x:c>
      <x:c r="K180" s="5" t="str">
        <x:v>apps/ccli/third_party/libiec61850/hal/tls/mbedtls3; adapters/iec61850_mms/mms_adapter.cpp; adapters/iec60870_104/iec104_tls.cpp; cmake/tls_allowlist_validation.cmake</x:v>
      </x:c>
      <x:c r="L180" s="5" t="str">
        <x:v>HiTEKS security + Tespro platform</x:v>
      </x:c>
      <x:c r="M180" s="5" t="str">
        <x:v>Existing implementation area; requirement acceptance open</x:v>
      </x:c>
      <x:c r="N180" s="5" t="str">
        <x:v>Not demonstrated</x:v>
      </x:c>
      <x:c r="O180" s="5" t="str">
        <x:v>Force exact TLS1.3 suite; verify negotiated version/algorithm and default prohibition of integrity-only alternatives. Verify: Support TLS_AES_128_CCM_8_SHA256 (0x1305).</x:v>
      </x:c>
      <x:c r="P180" s="10" t="str"/>
      <x:c r="Q180" s="10" t="str">
        <x:v>Open</x:v>
      </x:c>
      <x:c r="R180" s="10" t="str"/>
      <x:c r="S180" s="10" t="str"/>
      <x:c r="T180" s="10" t="str"/>
      <x:c r="U180" s="5" t="str">
        <x:f>IF(Q180="Closed",IF(AND(R180&lt;&gt;"",S180&lt;&gt;""),"Closed recorded","Missing evidence/reviewer"),IF(Q180="N/A approved",IF(AND(T180&lt;&gt;"",S180&lt;&gt;""),"N/A recorded","Missing applicability approval"),"Open"))</x:f>
        <x:v>Open</x:v>
      </x:c>
      <x:c r="V180" s="5" t="str">
        <x:v>Normativa/EN IEC 62351-3-2023.pdf</x:v>
      </x:c>
      <x:c r="W180" s="5" t="str"/>
    </x:row>
    <x:row r="181" ht="47" customHeight="1">
      <x:c r="A181" s="5" t="str">
        <x:v>TLS-13-SUITE-0xC0B4-01</x:v>
      </x:c>
      <x:c r="B181" s="5" t="str">
        <x:v>13-SUITE-0xC0B4</x:v>
      </x:c>
      <x:c r="C181" s="5" t="str">
        <x:v>TLS_SHA256_SHA256</x:v>
      </x:c>
      <x:c r="D181" s="5" t="str">
        <x:v>Support TLS_SHA256_SHA256 (0xC0B4) only with explicit authorized enabling; disabled by default</x:v>
      </x:c>
      <x:c r="E181" s="5" t="str">
        <x:v>Conditional optional</x:v>
      </x:c>
      <x:c r="F181" s="5" t="str">
        <x:v>TLS1.3 selected; optional suite only if chosen</x:v>
      </x:c>
      <x:c r="G181" s="5" t="str"/>
      <x:c r="H181" s="5" t="str">
        <x:v>8.2;10.6.1;Tables2,13</x:v>
      </x:c>
      <x:c r="I181" s="5" t="str">
        <x:v>38,50</x:v>
      </x:c>
      <x:c r="J181" s="5" t="str">
        <x:v>30,42</x:v>
      </x:c>
      <x:c r="K181" s="5" t="str">
        <x:v>apps/ccli/third_party/libiec61850/hal/tls/mbedtls3; adapters/iec61850_mms/mms_adapter.cpp; adapters/iec60870_104/iec104_tls.cpp; cmake/tls_allowlist_validation.cmake</x:v>
      </x:c>
      <x:c r="L181" s="5" t="str">
        <x:v>HiTEKS security + Tespro platform</x:v>
      </x:c>
      <x:c r="M181" s="5" t="str">
        <x:v>Existing implementation area; requirement acceptance open</x:v>
      </x:c>
      <x:c r="N181" s="5" t="str">
        <x:v>Not demonstrated</x:v>
      </x:c>
      <x:c r="O181" s="5" t="str">
        <x:v>Force exact TLS1.3 suite; verify negotiated version/algorithm and default prohibition of integrity-only alternatives. Verify: Support TLS_SHA256_SHA256 (0xC0B4) only with explicit authorized enabling; disabled by default.</x:v>
      </x:c>
      <x:c r="P181" s="10" t="str"/>
      <x:c r="Q181" s="10" t="str">
        <x:v>Open</x:v>
      </x:c>
      <x:c r="R181" s="10" t="str"/>
      <x:c r="S181" s="10" t="str"/>
      <x:c r="T181" s="10" t="str"/>
      <x:c r="U181" s="5" t="str">
        <x:f>IF(Q181="Closed",IF(AND(R181&lt;&gt;"",S181&lt;&gt;""),"Closed recorded","Missing evidence/reviewer"),IF(Q181="N/A approved",IF(AND(T181&lt;&gt;"",S181&lt;&gt;""),"N/A recorded","Missing applicability approval"),"Open"))</x:f>
        <x:v>Open</x:v>
      </x:c>
      <x:c r="V181" s="5" t="str">
        <x:v>Normativa/EN IEC 62351-3-2023.pdf</x:v>
      </x:c>
      <x:c r="W181" s="5" t="str"/>
    </x:row>
    <x:row r="182" ht="47" customHeight="1">
      <x:c r="A182" s="5" t="str">
        <x:v>TLS-13-SUITE-0xC0B5-01</x:v>
      </x:c>
      <x:c r="B182" s="5" t="str">
        <x:v>13-SUITE-0xC0B5</x:v>
      </x:c>
      <x:c r="C182" s="5" t="str">
        <x:v>TLS_SHA384_SHA384</x:v>
      </x:c>
      <x:c r="D182" s="5" t="str">
        <x:v>Support TLS_SHA384_SHA384 (0xC0B5) only with explicit authorized enabling; disabled by default</x:v>
      </x:c>
      <x:c r="E182" s="5" t="str">
        <x:v>Conditional optional</x:v>
      </x:c>
      <x:c r="F182" s="5" t="str">
        <x:v>TLS1.3 selected; optional suite only if chosen</x:v>
      </x:c>
      <x:c r="G182" s="5" t="str"/>
      <x:c r="H182" s="5" t="str">
        <x:v>8.2;10.6.1;Tables2,13</x:v>
      </x:c>
      <x:c r="I182" s="5" t="str">
        <x:v>38,50</x:v>
      </x:c>
      <x:c r="J182" s="5" t="str">
        <x:v>30,42</x:v>
      </x:c>
      <x:c r="K182" s="5" t="str">
        <x:v>apps/ccli/third_party/libiec61850/hal/tls/mbedtls3; adapters/iec61850_mms/mms_adapter.cpp; adapters/iec60870_104/iec104_tls.cpp; cmake/tls_allowlist_validation.cmake</x:v>
      </x:c>
      <x:c r="L182" s="5" t="str">
        <x:v>HiTEKS security + Tespro platform</x:v>
      </x:c>
      <x:c r="M182" s="5" t="str">
        <x:v>Existing implementation area; requirement acceptance open</x:v>
      </x:c>
      <x:c r="N182" s="5" t="str">
        <x:v>Not demonstrated</x:v>
      </x:c>
      <x:c r="O182" s="5" t="str">
        <x:v>Force exact TLS1.3 suite; verify negotiated version/algorithm and default prohibition of integrity-only alternatives. Verify: Support TLS_SHA384_SHA384 (0xC0B5) only with explicit authorized enabling; disabled by default.</x:v>
      </x:c>
      <x:c r="P182" s="10" t="str"/>
      <x:c r="Q182" s="10" t="str">
        <x:v>Open</x:v>
      </x:c>
      <x:c r="R182" s="10" t="str"/>
      <x:c r="S182" s="10" t="str"/>
      <x:c r="T182" s="10" t="str"/>
      <x:c r="U182" s="5" t="str">
        <x:f>IF(Q182="Closed",IF(AND(R182&lt;&gt;"",S182&lt;&gt;""),"Closed recorded","Missing evidence/reviewer"),IF(Q182="N/A approved",IF(AND(T182&lt;&gt;"",S182&lt;&gt;""),"N/A recorded","Missing applicability approval"),"Open"))</x:f>
        <x:v>Open</x:v>
      </x:c>
      <x:c r="V182" s="5" t="str">
        <x:v>Normativa/EN IEC 62351-3-2023.pdf</x:v>
      </x:c>
      <x:c r="W182" s="5" t="str"/>
    </x:row>
    <x:row r="183" ht="36" customHeight="1">
      <x:c r="A183" s="5" t="str">
        <x:v>TLS-13-GROUP-23-01</x:v>
      </x:c>
      <x:c r="B183" s="5" t="str">
        <x:v>13-GROUP-23</x:v>
      </x:c>
      <x:c r="C183" s="5" t="str">
        <x:v>secp256r1</x:v>
      </x:c>
      <x:c r="D183" s="5" t="str">
        <x:v>Support TLS1.3 named group secp256r1 (IANA 23)</x:v>
      </x:c>
      <x:c r="E183" s="5" t="str">
        <x:v>Conditional mandatory</x:v>
      </x:c>
      <x:c r="F183" s="5" t="str">
        <x:v>TLS1.3 selected; optional group only if chosen</x:v>
      </x:c>
      <x:c r="G183" s="5" t="str"/>
      <x:c r="H183" s="5" t="str">
        <x:v>8.3.3;10.6.2;Tables4,16</x:v>
      </x:c>
      <x:c r="I183" s="5" t="str">
        <x:v>40,51</x:v>
      </x:c>
      <x:c r="J183" s="5" t="str">
        <x:v>32,43</x:v>
      </x:c>
      <x:c r="K183" s="5" t="str">
        <x:v>apps/ccli/third_party/libiec61850/hal/tls/mbedtls3; adapters/iec61850_mms/mms_adapter.cpp; adapters/iec60870_104/iec104_tls.cpp; cmake/tls_allowlist_validation.cmake</x:v>
      </x:c>
      <x:c r="L183" s="5" t="str">
        <x:v>HiTEKS security + Tespro platform</x:v>
      </x:c>
      <x:c r="M183" s="5" t="str">
        <x:v>Existing implementation area; requirement acceptance open</x:v>
      </x:c>
      <x:c r="N183" s="5" t="str">
        <x:v>Not demonstrated</x:v>
      </x:c>
      <x:c r="O183" s="5" t="str">
        <x:v>Force group negotiation on both claimed endpoint roles; verify selected group and negative unsupported-group behavior. Verify: Support TLS1.3 named group secp256r1 (IANA 23).</x:v>
      </x:c>
      <x:c r="P183" s="10" t="str"/>
      <x:c r="Q183" s="10" t="str">
        <x:v>Open</x:v>
      </x:c>
      <x:c r="R183" s="10" t="str"/>
      <x:c r="S183" s="10" t="str"/>
      <x:c r="T183" s="10" t="str"/>
      <x:c r="U183" s="5" t="str">
        <x:f>IF(Q183="Closed",IF(AND(R183&lt;&gt;"",S183&lt;&gt;""),"Closed recorded","Missing evidence/reviewer"),IF(Q183="N/A approved",IF(AND(T183&lt;&gt;"",S183&lt;&gt;""),"N/A recorded","Missing applicability approval"),"Open"))</x:f>
        <x:v>Open</x:v>
      </x:c>
      <x:c r="V183" s="5" t="str">
        <x:v>Normativa/EN IEC 62351-3-2023.pdf</x:v>
      </x:c>
      <x:c r="W183" s="5" t="str"/>
    </x:row>
    <x:row r="184" ht="36" customHeight="1">
      <x:c r="A184" s="5" t="str">
        <x:v>TLS-13-GROUP-24-01</x:v>
      </x:c>
      <x:c r="B184" s="5" t="str">
        <x:v>13-GROUP-24</x:v>
      </x:c>
      <x:c r="C184" s="5" t="str">
        <x:v>secp384r1</x:v>
      </x:c>
      <x:c r="D184" s="5" t="str">
        <x:v>Support TLS1.3 named group secp384r1 (IANA 24)</x:v>
      </x:c>
      <x:c r="E184" s="5" t="str">
        <x:v>Optional</x:v>
      </x:c>
      <x:c r="F184" s="5" t="str">
        <x:v>TLS1.3 selected; optional group only if chosen</x:v>
      </x:c>
      <x:c r="G184" s="5" t="str"/>
      <x:c r="H184" s="5" t="str">
        <x:v>8.3.3;10.6.2;Tables4,16</x:v>
      </x:c>
      <x:c r="I184" s="5" t="str">
        <x:v>40,51</x:v>
      </x:c>
      <x:c r="J184" s="5" t="str">
        <x:v>32,43</x:v>
      </x:c>
      <x:c r="K184" s="5" t="str">
        <x:v>apps/ccli/third_party/libiec61850/hal/tls/mbedtls3; adapters/iec61850_mms/mms_adapter.cpp; adapters/iec60870_104/iec104_tls.cpp; cmake/tls_allowlist_validation.cmake</x:v>
      </x:c>
      <x:c r="L184" s="5" t="str">
        <x:v>HiTEKS security + Tespro platform</x:v>
      </x:c>
      <x:c r="M184" s="5" t="str">
        <x:v>Existing implementation area; requirement acceptance open</x:v>
      </x:c>
      <x:c r="N184" s="5" t="str">
        <x:v>Not demonstrated</x:v>
      </x:c>
      <x:c r="O184" s="5" t="str">
        <x:v>Force group negotiation on both claimed endpoint roles; verify selected group and negative unsupported-group behavior. Verify: Support TLS1.3 named group secp384r1 (IANA 24).</x:v>
      </x:c>
      <x:c r="P184" s="10" t="str"/>
      <x:c r="Q184" s="10" t="str">
        <x:v>Open</x:v>
      </x:c>
      <x:c r="R184" s="10" t="str"/>
      <x:c r="S184" s="10" t="str"/>
      <x:c r="T184" s="10" t="str"/>
      <x:c r="U184" s="5" t="str">
        <x:f>IF(Q184="Closed",IF(AND(R184&lt;&gt;"",S184&lt;&gt;""),"Closed recorded","Missing evidence/reviewer"),IF(Q184="N/A approved",IF(AND(T184&lt;&gt;"",S184&lt;&gt;""),"N/A recorded","Missing applicability approval"),"Open"))</x:f>
        <x:v>Open</x:v>
      </x:c>
      <x:c r="V184" s="5" t="str">
        <x:v>Normativa/EN IEC 62351-3-2023.pdf</x:v>
      </x:c>
      <x:c r="W184" s="5" t="str"/>
    </x:row>
    <x:row r="185" ht="36" customHeight="1">
      <x:c r="A185" s="5" t="str">
        <x:v>TLS-13-GROUP-31-01</x:v>
      </x:c>
      <x:c r="B185" s="5" t="str">
        <x:v>13-GROUP-31</x:v>
      </x:c>
      <x:c r="C185" s="5" t="str">
        <x:v>brainpoolP256r1</x:v>
      </x:c>
      <x:c r="D185" s="5" t="str">
        <x:v>Support TLS1.3 named group brainpoolP256r1 (IANA 31)</x:v>
      </x:c>
      <x:c r="E185" s="5" t="str">
        <x:v>Optional</x:v>
      </x:c>
      <x:c r="F185" s="5" t="str">
        <x:v>TLS1.3 selected; optional group only if chosen</x:v>
      </x:c>
      <x:c r="G185" s="5" t="str"/>
      <x:c r="H185" s="5" t="str">
        <x:v>8.3.3;10.6.2;Tables4,16</x:v>
      </x:c>
      <x:c r="I185" s="5" t="str">
        <x:v>40,51</x:v>
      </x:c>
      <x:c r="J185" s="5" t="str">
        <x:v>32,43</x:v>
      </x:c>
      <x:c r="K185" s="5" t="str">
        <x:v>apps/ccli/third_party/libiec61850/hal/tls/mbedtls3; adapters/iec61850_mms/mms_adapter.cpp; adapters/iec60870_104/iec104_tls.cpp; cmake/tls_allowlist_validation.cmake</x:v>
      </x:c>
      <x:c r="L185" s="5" t="str">
        <x:v>HiTEKS security + Tespro platform</x:v>
      </x:c>
      <x:c r="M185" s="5" t="str">
        <x:v>Existing implementation area; requirement acceptance open</x:v>
      </x:c>
      <x:c r="N185" s="5" t="str">
        <x:v>Not demonstrated</x:v>
      </x:c>
      <x:c r="O185" s="5" t="str">
        <x:v>Force group negotiation on both claimed endpoint roles; verify selected group and negative unsupported-group behavior. Verify: Support TLS1.3 named group brainpoolP256r1 (IANA 31).</x:v>
      </x:c>
      <x:c r="P185" s="10" t="str"/>
      <x:c r="Q185" s="10" t="str">
        <x:v>Open</x:v>
      </x:c>
      <x:c r="R185" s="10" t="str"/>
      <x:c r="S185" s="10" t="str"/>
      <x:c r="T185" s="10" t="str"/>
      <x:c r="U185" s="5" t="str">
        <x:f>IF(Q185="Closed",IF(AND(R185&lt;&gt;"",S185&lt;&gt;""),"Closed recorded","Missing evidence/reviewer"),IF(Q185="N/A approved",IF(AND(T185&lt;&gt;"",S185&lt;&gt;""),"N/A recorded","Missing applicability approval"),"Open"))</x:f>
        <x:v>Open</x:v>
      </x:c>
      <x:c r="V185" s="5" t="str">
        <x:v>Normativa/EN IEC 62351-3-2023.pdf</x:v>
      </x:c>
      <x:c r="W185" s="5" t="str"/>
    </x:row>
    <x:row r="186" ht="36" customHeight="1">
      <x:c r="A186" s="5" t="str">
        <x:v>TLS-13-GROUP-32-01</x:v>
      </x:c>
      <x:c r="B186" s="5" t="str">
        <x:v>13-GROUP-32</x:v>
      </x:c>
      <x:c r="C186" s="5" t="str">
        <x:v>brainpoolP384r1</x:v>
      </x:c>
      <x:c r="D186" s="5" t="str">
        <x:v>Support TLS1.3 named group brainpoolP384r1 (IANA 32)</x:v>
      </x:c>
      <x:c r="E186" s="5" t="str">
        <x:v>Optional</x:v>
      </x:c>
      <x:c r="F186" s="5" t="str">
        <x:v>TLS1.3 selected; optional group only if chosen</x:v>
      </x:c>
      <x:c r="G186" s="5" t="str"/>
      <x:c r="H186" s="5" t="str">
        <x:v>8.3.3;10.6.2;Tables4,16</x:v>
      </x:c>
      <x:c r="I186" s="5" t="str">
        <x:v>40,51</x:v>
      </x:c>
      <x:c r="J186" s="5" t="str">
        <x:v>32,43</x:v>
      </x:c>
      <x:c r="K186" s="5" t="str">
        <x:v>apps/ccli/third_party/libiec61850/hal/tls/mbedtls3; adapters/iec61850_mms/mms_adapter.cpp; adapters/iec60870_104/iec104_tls.cpp; cmake/tls_allowlist_validation.cmake</x:v>
      </x:c>
      <x:c r="L186" s="5" t="str">
        <x:v>HiTEKS security + Tespro platform</x:v>
      </x:c>
      <x:c r="M186" s="5" t="str">
        <x:v>Existing implementation area; requirement acceptance open</x:v>
      </x:c>
      <x:c r="N186" s="5" t="str">
        <x:v>Not demonstrated</x:v>
      </x:c>
      <x:c r="O186" s="5" t="str">
        <x:v>Force group negotiation on both claimed endpoint roles; verify selected group and negative unsupported-group behavior. Verify: Support TLS1.3 named group brainpoolP384r1 (IANA 32).</x:v>
      </x:c>
      <x:c r="P186" s="10" t="str"/>
      <x:c r="Q186" s="10" t="str">
        <x:v>Open</x:v>
      </x:c>
      <x:c r="R186" s="10" t="str"/>
      <x:c r="S186" s="10" t="str"/>
      <x:c r="T186" s="10" t="str"/>
      <x:c r="U186" s="5" t="str">
        <x:f>IF(Q186="Closed",IF(AND(R186&lt;&gt;"",S186&lt;&gt;""),"Closed recorded","Missing evidence/reviewer"),IF(Q186="N/A approved",IF(AND(T186&lt;&gt;"",S186&lt;&gt;""),"N/A recorded","Missing applicability approval"),"Open"))</x:f>
        <x:v>Open</x:v>
      </x:c>
      <x:c r="V186" s="5" t="str">
        <x:v>Normativa/EN IEC 62351-3-2023.pdf</x:v>
      </x:c>
      <x:c r="W186" s="5" t="str"/>
    </x:row>
    <x:row r="187" ht="36" customHeight="1">
      <x:c r="A187" s="5" t="str">
        <x:v>TLS-13-GROUP-33-01</x:v>
      </x:c>
      <x:c r="B187" s="5" t="str">
        <x:v>13-GROUP-33</x:v>
      </x:c>
      <x:c r="C187" s="5" t="str">
        <x:v>brainpoolP512r1</x:v>
      </x:c>
      <x:c r="D187" s="5" t="str">
        <x:v>Support TLS1.3 named group brainpoolP512r1 (IANA 33)</x:v>
      </x:c>
      <x:c r="E187" s="5" t="str">
        <x:v>Optional</x:v>
      </x:c>
      <x:c r="F187" s="5" t="str">
        <x:v>TLS1.3 selected; optional group only if chosen</x:v>
      </x:c>
      <x:c r="G187" s="5" t="str"/>
      <x:c r="H187" s="5" t="str">
        <x:v>8.3.3;10.6.2;Tables4,16</x:v>
      </x:c>
      <x:c r="I187" s="5" t="str">
        <x:v>40,51</x:v>
      </x:c>
      <x:c r="J187" s="5" t="str">
        <x:v>32,43</x:v>
      </x:c>
      <x:c r="K187" s="5" t="str">
        <x:v>apps/ccli/third_party/libiec61850/hal/tls/mbedtls3; adapters/iec61850_mms/mms_adapter.cpp; adapters/iec60870_104/iec104_tls.cpp; cmake/tls_allowlist_validation.cmake</x:v>
      </x:c>
      <x:c r="L187" s="5" t="str">
        <x:v>HiTEKS security + Tespro platform</x:v>
      </x:c>
      <x:c r="M187" s="5" t="str">
        <x:v>Existing implementation area; requirement acceptance open</x:v>
      </x:c>
      <x:c r="N187" s="5" t="str">
        <x:v>Not demonstrated</x:v>
      </x:c>
      <x:c r="O187" s="5" t="str">
        <x:v>Force group negotiation on both claimed endpoint roles; verify selected group and negative unsupported-group behavior. Verify: Support TLS1.3 named group brainpoolP512r1 (IANA 33).</x:v>
      </x:c>
      <x:c r="P187" s="10" t="str"/>
      <x:c r="Q187" s="10" t="str">
        <x:v>Open</x:v>
      </x:c>
      <x:c r="R187" s="10" t="str"/>
      <x:c r="S187" s="10" t="str"/>
      <x:c r="T187" s="10" t="str"/>
      <x:c r="U187" s="5" t="str">
        <x:f>IF(Q187="Closed",IF(AND(R187&lt;&gt;"",S187&lt;&gt;""),"Closed recorded","Missing evidence/reviewer"),IF(Q187="N/A approved",IF(AND(T187&lt;&gt;"",S187&lt;&gt;""),"N/A recorded","Missing applicability approval"),"Open"))</x:f>
        <x:v>Open</x:v>
      </x:c>
      <x:c r="V187" s="5" t="str">
        <x:v>Normativa/EN IEC 62351-3-2023.pdf</x:v>
      </x:c>
      <x:c r="W187" s="5" t="str"/>
    </x:row>
    <x:row r="188" ht="36" customHeight="1">
      <x:c r="A188" s="5" t="str">
        <x:v>TLS-13-GROUP-256-01</x:v>
      </x:c>
      <x:c r="B188" s="5" t="str">
        <x:v>13-GROUP-256</x:v>
      </x:c>
      <x:c r="C188" s="5" t="str">
        <x:v>ffdhe2048</x:v>
      </x:c>
      <x:c r="D188" s="5" t="str">
        <x:v>Support TLS1.3 named group ffdhe2048 (IANA 256)</x:v>
      </x:c>
      <x:c r="E188" s="5" t="str">
        <x:v>Conditional mandatory</x:v>
      </x:c>
      <x:c r="F188" s="5" t="str">
        <x:v>TLS1.3 selected; optional group only if chosen</x:v>
      </x:c>
      <x:c r="G188" s="5" t="str"/>
      <x:c r="H188" s="5" t="str">
        <x:v>8.3.3;10.6.2;Tables4,16</x:v>
      </x:c>
      <x:c r="I188" s="5" t="str">
        <x:v>40,51</x:v>
      </x:c>
      <x:c r="J188" s="5" t="str">
        <x:v>32,43</x:v>
      </x:c>
      <x:c r="K188" s="5" t="str">
        <x:v>apps/ccli/third_party/libiec61850/hal/tls/mbedtls3; adapters/iec61850_mms/mms_adapter.cpp; adapters/iec60870_104/iec104_tls.cpp; cmake/tls_allowlist_validation.cmake</x:v>
      </x:c>
      <x:c r="L188" s="5" t="str">
        <x:v>HiTEKS security + Tespro platform</x:v>
      </x:c>
      <x:c r="M188" s="5" t="str">
        <x:v>Existing implementation area; requirement acceptance open</x:v>
      </x:c>
      <x:c r="N188" s="5" t="str">
        <x:v>Not demonstrated</x:v>
      </x:c>
      <x:c r="O188" s="5" t="str">
        <x:v>Force group negotiation on both claimed endpoint roles; verify selected group and negative unsupported-group behavior. Verify: Support TLS1.3 named group ffdhe2048 (IANA 256).</x:v>
      </x:c>
      <x:c r="P188" s="10" t="str"/>
      <x:c r="Q188" s="10" t="str">
        <x:v>Open</x:v>
      </x:c>
      <x:c r="R188" s="10" t="str"/>
      <x:c r="S188" s="10" t="str"/>
      <x:c r="T188" s="10" t="str"/>
      <x:c r="U188" s="5" t="str">
        <x:f>IF(Q188="Closed",IF(AND(R188&lt;&gt;"",S188&lt;&gt;""),"Closed recorded","Missing evidence/reviewer"),IF(Q188="N/A approved",IF(AND(T188&lt;&gt;"",S188&lt;&gt;""),"N/A recorded","Missing applicability approval"),"Open"))</x:f>
        <x:v>Open</x:v>
      </x:c>
      <x:c r="V188" s="5" t="str">
        <x:v>Normativa/EN IEC 62351-3-2023.pdf</x:v>
      </x:c>
      <x:c r="W188" s="5" t="str"/>
    </x:row>
    <x:row r="189" ht="36" customHeight="1">
      <x:c r="A189" s="5" t="str">
        <x:v>TLS-13-GROUP-257-01</x:v>
      </x:c>
      <x:c r="B189" s="5" t="str">
        <x:v>13-GROUP-257</x:v>
      </x:c>
      <x:c r="C189" s="5" t="str">
        <x:v>ffdhe3072</x:v>
      </x:c>
      <x:c r="D189" s="5" t="str">
        <x:v>Support TLS1.3 named group ffdhe3072 (IANA 257)</x:v>
      </x:c>
      <x:c r="E189" s="5" t="str">
        <x:v>Optional</x:v>
      </x:c>
      <x:c r="F189" s="5" t="str">
        <x:v>TLS1.3 selected; optional group only if chosen</x:v>
      </x:c>
      <x:c r="G189" s="5" t="str"/>
      <x:c r="H189" s="5" t="str">
        <x:v>8.3.3;10.6.2;Tables4,16</x:v>
      </x:c>
      <x:c r="I189" s="5" t="str">
        <x:v>40,51</x:v>
      </x:c>
      <x:c r="J189" s="5" t="str">
        <x:v>32,43</x:v>
      </x:c>
      <x:c r="K189" s="5" t="str">
        <x:v>apps/ccli/third_party/libiec61850/hal/tls/mbedtls3; adapters/iec61850_mms/mms_adapter.cpp; adapters/iec60870_104/iec104_tls.cpp; cmake/tls_allowlist_validation.cmake</x:v>
      </x:c>
      <x:c r="L189" s="5" t="str">
        <x:v>HiTEKS security + Tespro platform</x:v>
      </x:c>
      <x:c r="M189" s="5" t="str">
        <x:v>Existing implementation area; requirement acceptance open</x:v>
      </x:c>
      <x:c r="N189" s="5" t="str">
        <x:v>Not demonstrated</x:v>
      </x:c>
      <x:c r="O189" s="5" t="str">
        <x:v>Force group negotiation on both claimed endpoint roles; verify selected group and negative unsupported-group behavior. Verify: Support TLS1.3 named group ffdhe3072 (IANA 257).</x:v>
      </x:c>
      <x:c r="P189" s="10" t="str"/>
      <x:c r="Q189" s="10" t="str">
        <x:v>Open</x:v>
      </x:c>
      <x:c r="R189" s="10" t="str"/>
      <x:c r="S189" s="10" t="str"/>
      <x:c r="T189" s="10" t="str"/>
      <x:c r="U189" s="5" t="str">
        <x:f>IF(Q189="Closed",IF(AND(R189&lt;&gt;"",S189&lt;&gt;""),"Closed recorded","Missing evidence/reviewer"),IF(Q189="N/A approved",IF(AND(T189&lt;&gt;"",S189&lt;&gt;""),"N/A recorded","Missing applicability approval"),"Open"))</x:f>
        <x:v>Open</x:v>
      </x:c>
      <x:c r="V189" s="5" t="str">
        <x:v>Normativa/EN IEC 62351-3-2023.pdf</x:v>
      </x:c>
      <x:c r="W189" s="5" t="str"/>
    </x:row>
    <x:row r="190" ht="36" customHeight="1">
      <x:c r="A190" s="5" t="str">
        <x:v>TLS-13-GROUP-258-01</x:v>
      </x:c>
      <x:c r="B190" s="5" t="str">
        <x:v>13-GROUP-258</x:v>
      </x:c>
      <x:c r="C190" s="5" t="str">
        <x:v>ffdhe4096</x:v>
      </x:c>
      <x:c r="D190" s="5" t="str">
        <x:v>Support TLS1.3 named group ffdhe4096 (IANA 258)</x:v>
      </x:c>
      <x:c r="E190" s="5" t="str">
        <x:v>Optional</x:v>
      </x:c>
      <x:c r="F190" s="5" t="str">
        <x:v>TLS1.3 selected; optional group only if chosen</x:v>
      </x:c>
      <x:c r="G190" s="5" t="str"/>
      <x:c r="H190" s="5" t="str">
        <x:v>8.3.3;10.6.2;Tables4,16</x:v>
      </x:c>
      <x:c r="I190" s="5" t="str">
        <x:v>40,51</x:v>
      </x:c>
      <x:c r="J190" s="5" t="str">
        <x:v>32,43</x:v>
      </x:c>
      <x:c r="K190" s="5" t="str">
        <x:v>apps/ccli/third_party/libiec61850/hal/tls/mbedtls3; adapters/iec61850_mms/mms_adapter.cpp; adapters/iec60870_104/iec104_tls.cpp; cmake/tls_allowlist_validation.cmake</x:v>
      </x:c>
      <x:c r="L190" s="5" t="str">
        <x:v>HiTEKS security + Tespro platform</x:v>
      </x:c>
      <x:c r="M190" s="5" t="str">
        <x:v>Existing implementation area; requirement acceptance open</x:v>
      </x:c>
      <x:c r="N190" s="5" t="str">
        <x:v>Not demonstrated</x:v>
      </x:c>
      <x:c r="O190" s="5" t="str">
        <x:v>Force group negotiation on both claimed endpoint roles; verify selected group and negative unsupported-group behavior. Verify: Support TLS1.3 named group ffdhe4096 (IANA 258).</x:v>
      </x:c>
      <x:c r="P190" s="10" t="str"/>
      <x:c r="Q190" s="10" t="str">
        <x:v>Open</x:v>
      </x:c>
      <x:c r="R190" s="10" t="str"/>
      <x:c r="S190" s="10" t="str"/>
      <x:c r="T190" s="10" t="str"/>
      <x:c r="U190" s="5" t="str">
        <x:f>IF(Q190="Closed",IF(AND(R190&lt;&gt;"",S190&lt;&gt;""),"Closed recorded","Missing evidence/reviewer"),IF(Q190="N/A approved",IF(AND(T190&lt;&gt;"",S190&lt;&gt;""),"N/A recorded","Missing applicability approval"),"Open"))</x:f>
        <x:v>Open</x:v>
      </x:c>
      <x:c r="V190" s="5" t="str">
        <x:v>Normativa/EN IEC 62351-3-2023.pdf</x:v>
      </x:c>
      <x:c r="W190" s="5" t="str"/>
    </x:row>
    <x:row r="191" ht="36" customHeight="1">
      <x:c r="A191" s="5" t="str">
        <x:v>TLS-13-handshake-0x0804-01</x:v>
      </x:c>
      <x:c r="B191" s="5" t="str">
        <x:v>13-handshake-0x0804</x:v>
      </x:c>
      <x:c r="C191" s="5" t="str">
        <x:v>rsa_pss_rsae_sha256</x:v>
      </x:c>
      <x:c r="D191" s="5" t="str">
        <x:v>Support rsa_pss_rsae_sha256 for TLS1.3 handshake signatures</x:v>
      </x:c>
      <x:c r="E191" s="5" t="str">
        <x:v>Conditional mandatory</x:v>
      </x:c>
      <x:c r="F191" s="5" t="str">
        <x:v>TLS1.3 selected; optional algorithm only if chosen</x:v>
      </x:c>
      <x:c r="G191" s="5" t="str"/>
      <x:c r="H191" s="5" t="str">
        <x:v>8.3.4.1;Tables5,17</x:v>
      </x:c>
      <x:c r="I191" s="5" t="str">
        <x:v>40,51</x:v>
      </x:c>
      <x:c r="J191" s="5" t="str">
        <x:v>32,43</x:v>
      </x:c>
      <x:c r="K191" s="5" t="str">
        <x:v>apps/ccli/third_party/libiec61850/hal/tls/mbedtls3; adapters/iec61850_mms/mms_adapter.cpp; adapters/iec60870_104/iec104_tls.cpp; cmake/tls_allowlist_validation.cmake</x:v>
      </x:c>
      <x:c r="L191" s="5" t="str">
        <x:v>HiTEKS security + Tespro platform</x:v>
      </x:c>
      <x:c r="M191" s="5" t="str">
        <x:v>Existing implementation area; requirement acceptance open</x:v>
      </x:c>
      <x:c r="N191" s="5" t="str">
        <x:v>Not demonstrated</x:v>
      </x:c>
      <x:c r="O191" s="5" t="str">
        <x:v>Use matching certificate/key type and force signature-scheme negotiation; retain positive/negative verification evidence. Verify: Support rsa_pss_rsae_sha256 for TLS1.3 handshake signatures.</x:v>
      </x:c>
      <x:c r="P191" s="10" t="str"/>
      <x:c r="Q191" s="10" t="str">
        <x:v>Open</x:v>
      </x:c>
      <x:c r="R191" s="10" t="str"/>
      <x:c r="S191" s="10" t="str"/>
      <x:c r="T191" s="10" t="str"/>
      <x:c r="U191" s="5" t="str">
        <x:f>IF(Q191="Closed",IF(AND(R191&lt;&gt;"",S191&lt;&gt;""),"Closed recorded","Missing evidence/reviewer"),IF(Q191="N/A approved",IF(AND(T191&lt;&gt;"",S191&lt;&gt;""),"N/A recorded","Missing applicability approval"),"Open"))</x:f>
        <x:v>Open</x:v>
      </x:c>
      <x:c r="V191" s="5" t="str">
        <x:v>Normativa/EN IEC 62351-3-2023.pdf</x:v>
      </x:c>
      <x:c r="W191" s="5" t="str"/>
    </x:row>
    <x:row r="192" ht="36" customHeight="1">
      <x:c r="A192" s="5" t="str">
        <x:v>TLS-13-handshake-0x0805-01</x:v>
      </x:c>
      <x:c r="B192" s="5" t="str">
        <x:v>13-handshake-0x0805</x:v>
      </x:c>
      <x:c r="C192" s="5" t="str">
        <x:v>rsa_pss_rsae_sha384</x:v>
      </x:c>
      <x:c r="D192" s="5" t="str">
        <x:v>Support rsa_pss_rsae_sha384 for TLS1.3 handshake signatures</x:v>
      </x:c>
      <x:c r="E192" s="5" t="str">
        <x:v>Optional</x:v>
      </x:c>
      <x:c r="F192" s="5" t="str">
        <x:v>TLS1.3 selected; optional algorithm only if chosen</x:v>
      </x:c>
      <x:c r="G192" s="5" t="str"/>
      <x:c r="H192" s="5" t="str">
        <x:v>8.3.4.1;Tables5,17</x:v>
      </x:c>
      <x:c r="I192" s="5" t="str">
        <x:v>40,51</x:v>
      </x:c>
      <x:c r="J192" s="5" t="str">
        <x:v>32,43</x:v>
      </x:c>
      <x:c r="K192" s="5" t="str">
        <x:v>apps/ccli/third_party/libiec61850/hal/tls/mbedtls3; adapters/iec61850_mms/mms_adapter.cpp; adapters/iec60870_104/iec104_tls.cpp; cmake/tls_allowlist_validation.cmake</x:v>
      </x:c>
      <x:c r="L192" s="5" t="str">
        <x:v>HiTEKS security + Tespro platform</x:v>
      </x:c>
      <x:c r="M192" s="5" t="str">
        <x:v>Existing implementation area; requirement acceptance open</x:v>
      </x:c>
      <x:c r="N192" s="5" t="str">
        <x:v>Not demonstrated</x:v>
      </x:c>
      <x:c r="O192" s="5" t="str">
        <x:v>Use matching certificate/key type and force signature-scheme negotiation; retain positive/negative verification evidence. Verify: Support rsa_pss_rsae_sha384 for TLS1.3 handshake signatures.</x:v>
      </x:c>
      <x:c r="P192" s="10" t="str"/>
      <x:c r="Q192" s="10" t="str">
        <x:v>Open</x:v>
      </x:c>
      <x:c r="R192" s="10" t="str"/>
      <x:c r="S192" s="10" t="str"/>
      <x:c r="T192" s="10" t="str"/>
      <x:c r="U192" s="5" t="str">
        <x:f>IF(Q192="Closed",IF(AND(R192&lt;&gt;"",S192&lt;&gt;""),"Closed recorded","Missing evidence/reviewer"),IF(Q192="N/A approved",IF(AND(T192&lt;&gt;"",S192&lt;&gt;""),"N/A recorded","Missing applicability approval"),"Open"))</x:f>
        <x:v>Open</x:v>
      </x:c>
      <x:c r="V192" s="5" t="str">
        <x:v>Normativa/EN IEC 62351-3-2023.pdf</x:v>
      </x:c>
      <x:c r="W192" s="5" t="str"/>
    </x:row>
    <x:row r="193" ht="36" customHeight="1">
      <x:c r="A193" s="5" t="str">
        <x:v>TLS-13-handshake-0x0806-01</x:v>
      </x:c>
      <x:c r="B193" s="5" t="str">
        <x:v>13-handshake-0x0806</x:v>
      </x:c>
      <x:c r="C193" s="5" t="str">
        <x:v>rsa_pss_rsae_sha512</x:v>
      </x:c>
      <x:c r="D193" s="5" t="str">
        <x:v>Support rsa_pss_rsae_sha512 for TLS1.3 handshake signatures</x:v>
      </x:c>
      <x:c r="E193" s="5" t="str">
        <x:v>Optional</x:v>
      </x:c>
      <x:c r="F193" s="5" t="str">
        <x:v>TLS1.3 selected; optional algorithm only if chosen</x:v>
      </x:c>
      <x:c r="G193" s="5" t="str"/>
      <x:c r="H193" s="5" t="str">
        <x:v>8.3.4.1;Tables5,17</x:v>
      </x:c>
      <x:c r="I193" s="5" t="str">
        <x:v>40,51</x:v>
      </x:c>
      <x:c r="J193" s="5" t="str">
        <x:v>32,43</x:v>
      </x:c>
      <x:c r="K193" s="5" t="str">
        <x:v>apps/ccli/third_party/libiec61850/hal/tls/mbedtls3; adapters/iec61850_mms/mms_adapter.cpp; adapters/iec60870_104/iec104_tls.cpp; cmake/tls_allowlist_validation.cmake</x:v>
      </x:c>
      <x:c r="L193" s="5" t="str">
        <x:v>HiTEKS security + Tespro platform</x:v>
      </x:c>
      <x:c r="M193" s="5" t="str">
        <x:v>Existing implementation area; requirement acceptance open</x:v>
      </x:c>
      <x:c r="N193" s="5" t="str">
        <x:v>Not demonstrated</x:v>
      </x:c>
      <x:c r="O193" s="5" t="str">
        <x:v>Use matching certificate/key type and force signature-scheme negotiation; retain positive/negative verification evidence. Verify: Support rsa_pss_rsae_sha512 for TLS1.3 handshake signatures.</x:v>
      </x:c>
      <x:c r="P193" s="10" t="str"/>
      <x:c r="Q193" s="10" t="str">
        <x:v>Open</x:v>
      </x:c>
      <x:c r="R193" s="10" t="str"/>
      <x:c r="S193" s="10" t="str"/>
      <x:c r="T193" s="10" t="str"/>
      <x:c r="U193" s="5" t="str">
        <x:f>IF(Q193="Closed",IF(AND(R193&lt;&gt;"",S193&lt;&gt;""),"Closed recorded","Missing evidence/reviewer"),IF(Q193="N/A approved",IF(AND(T193&lt;&gt;"",S193&lt;&gt;""),"N/A recorded","Missing applicability approval"),"Open"))</x:f>
        <x:v>Open</x:v>
      </x:c>
      <x:c r="V193" s="5" t="str">
        <x:v>Normativa/EN IEC 62351-3-2023.pdf</x:v>
      </x:c>
      <x:c r="W193" s="5" t="str"/>
    </x:row>
    <x:row r="194" ht="36" customHeight="1">
      <x:c r="A194" s="5" t="str">
        <x:v>TLS-13-handshake-0x0809-01</x:v>
      </x:c>
      <x:c r="B194" s="5" t="str">
        <x:v>13-handshake-0x0809</x:v>
      </x:c>
      <x:c r="C194" s="5" t="str">
        <x:v>rsa_pss_pss_sha256</x:v>
      </x:c>
      <x:c r="D194" s="5" t="str">
        <x:v>Support rsa_pss_pss_sha256 for TLS1.3 handshake signatures</x:v>
      </x:c>
      <x:c r="E194" s="5" t="str">
        <x:v>Conditional mandatory</x:v>
      </x:c>
      <x:c r="F194" s="5" t="str">
        <x:v>TLS1.3 selected; optional algorithm only if chosen</x:v>
      </x:c>
      <x:c r="G194" s="5" t="str"/>
      <x:c r="H194" s="5" t="str">
        <x:v>8.3.4.1;Tables5,17</x:v>
      </x:c>
      <x:c r="I194" s="5" t="str">
        <x:v>40,51</x:v>
      </x:c>
      <x:c r="J194" s="5" t="str">
        <x:v>32,43</x:v>
      </x:c>
      <x:c r="K194" s="5" t="str">
        <x:v>apps/ccli/third_party/libiec61850/hal/tls/mbedtls3; adapters/iec61850_mms/mms_adapter.cpp; adapters/iec60870_104/iec104_tls.cpp; cmake/tls_allowlist_validation.cmake</x:v>
      </x:c>
      <x:c r="L194" s="5" t="str">
        <x:v>HiTEKS security + Tespro platform</x:v>
      </x:c>
      <x:c r="M194" s="5" t="str">
        <x:v>Existing implementation area; requirement acceptance open</x:v>
      </x:c>
      <x:c r="N194" s="5" t="str">
        <x:v>Not demonstrated</x:v>
      </x:c>
      <x:c r="O194" s="5" t="str">
        <x:v>Use matching certificate/key type and force signature-scheme negotiation; retain positive/negative verification evidence. Verify: Support rsa_pss_pss_sha256 for TLS1.3 handshake signatures.</x:v>
      </x:c>
      <x:c r="P194" s="10" t="str"/>
      <x:c r="Q194" s="10" t="str">
        <x:v>Open</x:v>
      </x:c>
      <x:c r="R194" s="10" t="str"/>
      <x:c r="S194" s="10" t="str"/>
      <x:c r="T194" s="10" t="str"/>
      <x:c r="U194" s="5" t="str">
        <x:f>IF(Q194="Closed",IF(AND(R194&lt;&gt;"",S194&lt;&gt;""),"Closed recorded","Missing evidence/reviewer"),IF(Q194="N/A approved",IF(AND(T194&lt;&gt;"",S194&lt;&gt;""),"N/A recorded","Missing applicability approval"),"Open"))</x:f>
        <x:v>Open</x:v>
      </x:c>
      <x:c r="V194" s="5" t="str">
        <x:v>Normativa/EN IEC 62351-3-2023.pdf</x:v>
      </x:c>
      <x:c r="W194" s="5" t="str"/>
    </x:row>
    <x:row r="195" ht="36" customHeight="1">
      <x:c r="A195" s="5" t="str">
        <x:v>TLS-13-handshake-0x080A-01</x:v>
      </x:c>
      <x:c r="B195" s="5" t="str">
        <x:v>13-handshake-0x080A</x:v>
      </x:c>
      <x:c r="C195" s="5" t="str">
        <x:v>rsa_pss_pss_sha384</x:v>
      </x:c>
      <x:c r="D195" s="5" t="str">
        <x:v>Support rsa_pss_pss_sha384 for TLS1.3 handshake signatures</x:v>
      </x:c>
      <x:c r="E195" s="5" t="str">
        <x:v>Optional</x:v>
      </x:c>
      <x:c r="F195" s="5" t="str">
        <x:v>TLS1.3 selected; optional algorithm only if chosen</x:v>
      </x:c>
      <x:c r="G195" s="5" t="str"/>
      <x:c r="H195" s="5" t="str">
        <x:v>8.3.4.1;Tables5,17</x:v>
      </x:c>
      <x:c r="I195" s="5" t="str">
        <x:v>40,51</x:v>
      </x:c>
      <x:c r="J195" s="5" t="str">
        <x:v>32,43</x:v>
      </x:c>
      <x:c r="K195" s="5" t="str">
        <x:v>apps/ccli/third_party/libiec61850/hal/tls/mbedtls3; adapters/iec61850_mms/mms_adapter.cpp; adapters/iec60870_104/iec104_tls.cpp; cmake/tls_allowlist_validation.cmake</x:v>
      </x:c>
      <x:c r="L195" s="5" t="str">
        <x:v>HiTEKS security + Tespro platform</x:v>
      </x:c>
      <x:c r="M195" s="5" t="str">
        <x:v>Existing implementation area; requirement acceptance open</x:v>
      </x:c>
      <x:c r="N195" s="5" t="str">
        <x:v>Not demonstrated</x:v>
      </x:c>
      <x:c r="O195" s="5" t="str">
        <x:v>Use matching certificate/key type and force signature-scheme negotiation; retain positive/negative verification evidence. Verify: Support rsa_pss_pss_sha384 for TLS1.3 handshake signatures.</x:v>
      </x:c>
      <x:c r="P195" s="10" t="str"/>
      <x:c r="Q195" s="10" t="str">
        <x:v>Open</x:v>
      </x:c>
      <x:c r="R195" s="10" t="str"/>
      <x:c r="S195" s="10" t="str"/>
      <x:c r="T195" s="10" t="str"/>
      <x:c r="U195" s="5" t="str">
        <x:f>IF(Q195="Closed",IF(AND(R195&lt;&gt;"",S195&lt;&gt;""),"Closed recorded","Missing evidence/reviewer"),IF(Q195="N/A approved",IF(AND(T195&lt;&gt;"",S195&lt;&gt;""),"N/A recorded","Missing applicability approval"),"Open"))</x:f>
        <x:v>Open</x:v>
      </x:c>
      <x:c r="V195" s="5" t="str">
        <x:v>Normativa/EN IEC 62351-3-2023.pdf</x:v>
      </x:c>
      <x:c r="W195" s="5" t="str"/>
    </x:row>
    <x:row r="196" ht="36" customHeight="1">
      <x:c r="A196" s="5" t="str">
        <x:v>TLS-13-handshake-0x080B-01</x:v>
      </x:c>
      <x:c r="B196" s="5" t="str">
        <x:v>13-handshake-0x080B</x:v>
      </x:c>
      <x:c r="C196" s="5" t="str">
        <x:v>rsa_pss_pss_sha512</x:v>
      </x:c>
      <x:c r="D196" s="5" t="str">
        <x:v>Support rsa_pss_pss_sha512 for TLS1.3 handshake signatures</x:v>
      </x:c>
      <x:c r="E196" s="5" t="str">
        <x:v>Optional</x:v>
      </x:c>
      <x:c r="F196" s="5" t="str">
        <x:v>TLS1.3 selected; optional algorithm only if chosen</x:v>
      </x:c>
      <x:c r="G196" s="5" t="str"/>
      <x:c r="H196" s="5" t="str">
        <x:v>8.3.4.1;Tables5,17</x:v>
      </x:c>
      <x:c r="I196" s="5" t="str">
        <x:v>40,51</x:v>
      </x:c>
      <x:c r="J196" s="5" t="str">
        <x:v>32,43</x:v>
      </x:c>
      <x:c r="K196" s="5" t="str">
        <x:v>apps/ccli/third_party/libiec61850/hal/tls/mbedtls3; adapters/iec61850_mms/mms_adapter.cpp; adapters/iec60870_104/iec104_tls.cpp; cmake/tls_allowlist_validation.cmake</x:v>
      </x:c>
      <x:c r="L196" s="5" t="str">
        <x:v>HiTEKS security + Tespro platform</x:v>
      </x:c>
      <x:c r="M196" s="5" t="str">
        <x:v>Existing implementation area; requirement acceptance open</x:v>
      </x:c>
      <x:c r="N196" s="5" t="str">
        <x:v>Not demonstrated</x:v>
      </x:c>
      <x:c r="O196" s="5" t="str">
        <x:v>Use matching certificate/key type and force signature-scheme negotiation; retain positive/negative verification evidence. Verify: Support rsa_pss_pss_sha512 for TLS1.3 handshake signatures.</x:v>
      </x:c>
      <x:c r="P196" s="10" t="str"/>
      <x:c r="Q196" s="10" t="str">
        <x:v>Open</x:v>
      </x:c>
      <x:c r="R196" s="10" t="str"/>
      <x:c r="S196" s="10" t="str"/>
      <x:c r="T196" s="10" t="str"/>
      <x:c r="U196" s="5" t="str">
        <x:f>IF(Q196="Closed",IF(AND(R196&lt;&gt;"",S196&lt;&gt;""),"Closed recorded","Missing evidence/reviewer"),IF(Q196="N/A approved",IF(AND(T196&lt;&gt;"",S196&lt;&gt;""),"N/A recorded","Missing applicability approval"),"Open"))</x:f>
        <x:v>Open</x:v>
      </x:c>
      <x:c r="V196" s="5" t="str">
        <x:v>Normativa/EN IEC 62351-3-2023.pdf</x:v>
      </x:c>
      <x:c r="W196" s="5" t="str"/>
    </x:row>
    <x:row r="197" ht="36" customHeight="1">
      <x:c r="A197" s="5" t="str">
        <x:v>TLS-13-handshake-0x0403-01</x:v>
      </x:c>
      <x:c r="B197" s="5" t="str">
        <x:v>13-handshake-0x0403</x:v>
      </x:c>
      <x:c r="C197" s="5" t="str">
        <x:v>ecdsa_secp256r1_sha256</x:v>
      </x:c>
      <x:c r="D197" s="5" t="str">
        <x:v>Support ecdsa_secp256r1_sha256 for TLS1.3 handshake signatures</x:v>
      </x:c>
      <x:c r="E197" s="5" t="str">
        <x:v>Conditional mandatory</x:v>
      </x:c>
      <x:c r="F197" s="5" t="str">
        <x:v>TLS1.3 selected; optional algorithm only if chosen</x:v>
      </x:c>
      <x:c r="G197" s="5" t="str"/>
      <x:c r="H197" s="5" t="str">
        <x:v>8.3.4.1;Tables5,17</x:v>
      </x:c>
      <x:c r="I197" s="5" t="str">
        <x:v>40,51</x:v>
      </x:c>
      <x:c r="J197" s="5" t="str">
        <x:v>32,43</x:v>
      </x:c>
      <x:c r="K197" s="5" t="str">
        <x:v>apps/ccli/third_party/libiec61850/hal/tls/mbedtls3; adapters/iec61850_mms/mms_adapter.cpp; adapters/iec60870_104/iec104_tls.cpp; cmake/tls_allowlist_validation.cmake</x:v>
      </x:c>
      <x:c r="L197" s="5" t="str">
        <x:v>HiTEKS security + Tespro platform</x:v>
      </x:c>
      <x:c r="M197" s="5" t="str">
        <x:v>Existing implementation area; requirement acceptance open</x:v>
      </x:c>
      <x:c r="N197" s="5" t="str">
        <x:v>Not demonstrated</x:v>
      </x:c>
      <x:c r="O197" s="5" t="str">
        <x:v>Use matching certificate/key type and force signature-scheme negotiation; retain positive/negative verification evidence. Verify: Support ecdsa_secp256r1_sha256 for TLS1.3 handshake signatures.</x:v>
      </x:c>
      <x:c r="P197" s="10" t="str"/>
      <x:c r="Q197" s="10" t="str">
        <x:v>Open</x:v>
      </x:c>
      <x:c r="R197" s="10" t="str"/>
      <x:c r="S197" s="10" t="str"/>
      <x:c r="T197" s="10" t="str"/>
      <x:c r="U197" s="5" t="str">
        <x:f>IF(Q197="Closed",IF(AND(R197&lt;&gt;"",S197&lt;&gt;""),"Closed recorded","Missing evidence/reviewer"),IF(Q197="N/A approved",IF(AND(T197&lt;&gt;"",S197&lt;&gt;""),"N/A recorded","Missing applicability approval"),"Open"))</x:f>
        <x:v>Open</x:v>
      </x:c>
      <x:c r="V197" s="5" t="str">
        <x:v>Normativa/EN IEC 62351-3-2023.pdf</x:v>
      </x:c>
      <x:c r="W197" s="5" t="str"/>
    </x:row>
    <x:row r="198" ht="36" customHeight="1">
      <x:c r="A198" s="5" t="str">
        <x:v>TLS-13-handshake-0x0503-01</x:v>
      </x:c>
      <x:c r="B198" s="5" t="str">
        <x:v>13-handshake-0x0503</x:v>
      </x:c>
      <x:c r="C198" s="5" t="str">
        <x:v>ecdsa_secp384r1_sha384</x:v>
      </x:c>
      <x:c r="D198" s="5" t="str">
        <x:v>Support ecdsa_secp384r1_sha384 for TLS1.3 handshake signatures</x:v>
      </x:c>
      <x:c r="E198" s="5" t="str">
        <x:v>Optional</x:v>
      </x:c>
      <x:c r="F198" s="5" t="str">
        <x:v>TLS1.3 selected; optional algorithm only if chosen</x:v>
      </x:c>
      <x:c r="G198" s="5" t="str"/>
      <x:c r="H198" s="5" t="str">
        <x:v>8.3.4.1;Tables5,17</x:v>
      </x:c>
      <x:c r="I198" s="5" t="str">
        <x:v>40,51</x:v>
      </x:c>
      <x:c r="J198" s="5" t="str">
        <x:v>32,43</x:v>
      </x:c>
      <x:c r="K198" s="5" t="str">
        <x:v>apps/ccli/third_party/libiec61850/hal/tls/mbedtls3; adapters/iec61850_mms/mms_adapter.cpp; adapters/iec60870_104/iec104_tls.cpp; cmake/tls_allowlist_validation.cmake</x:v>
      </x:c>
      <x:c r="L198" s="5" t="str">
        <x:v>HiTEKS security + Tespro platform</x:v>
      </x:c>
      <x:c r="M198" s="5" t="str">
        <x:v>Existing implementation area; requirement acceptance open</x:v>
      </x:c>
      <x:c r="N198" s="5" t="str">
        <x:v>Not demonstrated</x:v>
      </x:c>
      <x:c r="O198" s="5" t="str">
        <x:v>Use matching certificate/key type and force signature-scheme negotiation; retain positive/negative verification evidence. Verify: Support ecdsa_secp384r1_sha384 for TLS1.3 handshake signatures.</x:v>
      </x:c>
      <x:c r="P198" s="10" t="str"/>
      <x:c r="Q198" s="10" t="str">
        <x:v>Open</x:v>
      </x:c>
      <x:c r="R198" s="10" t="str"/>
      <x:c r="S198" s="10" t="str"/>
      <x:c r="T198" s="10" t="str"/>
      <x:c r="U198" s="5" t="str">
        <x:f>IF(Q198="Closed",IF(AND(R198&lt;&gt;"",S198&lt;&gt;""),"Closed recorded","Missing evidence/reviewer"),IF(Q198="N/A approved",IF(AND(T198&lt;&gt;"",S198&lt;&gt;""),"N/A recorded","Missing applicability approval"),"Open"))</x:f>
        <x:v>Open</x:v>
      </x:c>
      <x:c r="V198" s="5" t="str">
        <x:v>Normativa/EN IEC 62351-3-2023.pdf</x:v>
      </x:c>
      <x:c r="W198" s="5" t="str"/>
    </x:row>
    <x:row r="199" ht="36" customHeight="1">
      <x:c r="A199" s="5" t="str">
        <x:v>TLS-13-handshake-0x081A-01</x:v>
      </x:c>
      <x:c r="B199" s="5" t="str">
        <x:v>13-handshake-0x081A</x:v>
      </x:c>
      <x:c r="C199" s="5" t="str">
        <x:v>ecdsa_brainpoolP256r1_sha256</x:v>
      </x:c>
      <x:c r="D199" s="5" t="str">
        <x:v>Support ecdsa_brainpoolP256r1_sha256 for TLS1.3 handshake signatures</x:v>
      </x:c>
      <x:c r="E199" s="5" t="str">
        <x:v>Optional</x:v>
      </x:c>
      <x:c r="F199" s="5" t="str">
        <x:v>TLS1.3 selected; optional algorithm only if chosen</x:v>
      </x:c>
      <x:c r="G199" s="5" t="str"/>
      <x:c r="H199" s="5" t="str">
        <x:v>8.3.4.1;Tables5,17</x:v>
      </x:c>
      <x:c r="I199" s="5" t="str">
        <x:v>40,51</x:v>
      </x:c>
      <x:c r="J199" s="5" t="str">
        <x:v>32,43</x:v>
      </x:c>
      <x:c r="K199" s="5" t="str">
        <x:v>apps/ccli/third_party/libiec61850/hal/tls/mbedtls3; adapters/iec61850_mms/mms_adapter.cpp; adapters/iec60870_104/iec104_tls.cpp; cmake/tls_allowlist_validation.cmake</x:v>
      </x:c>
      <x:c r="L199" s="5" t="str">
        <x:v>HiTEKS security + Tespro platform</x:v>
      </x:c>
      <x:c r="M199" s="5" t="str">
        <x:v>Existing implementation area; requirement acceptance open</x:v>
      </x:c>
      <x:c r="N199" s="5" t="str">
        <x:v>Not demonstrated</x:v>
      </x:c>
      <x:c r="O199" s="5" t="str">
        <x:v>Use matching certificate/key type and force signature-scheme negotiation; retain positive/negative verification evidence. Verify: Support ecdsa_brainpoolP256r1_sha256 for TLS1.3 handshake signatures.</x:v>
      </x:c>
      <x:c r="P199" s="10" t="str"/>
      <x:c r="Q199" s="10" t="str">
        <x:v>Open</x:v>
      </x:c>
      <x:c r="R199" s="10" t="str"/>
      <x:c r="S199" s="10" t="str"/>
      <x:c r="T199" s="10" t="str"/>
      <x:c r="U199" s="5" t="str">
        <x:f>IF(Q199="Closed",IF(AND(R199&lt;&gt;"",S199&lt;&gt;""),"Closed recorded","Missing evidence/reviewer"),IF(Q199="N/A approved",IF(AND(T199&lt;&gt;"",S199&lt;&gt;""),"N/A recorded","Missing applicability approval"),"Open"))</x:f>
        <x:v>Open</x:v>
      </x:c>
      <x:c r="V199" s="5" t="str">
        <x:v>Normativa/EN IEC 62351-3-2023.pdf</x:v>
      </x:c>
      <x:c r="W199" s="5" t="str"/>
    </x:row>
    <x:row r="200" ht="36" customHeight="1">
      <x:c r="A200" s="5" t="str">
        <x:v>TLS-13-handshake-0x081B-01</x:v>
      </x:c>
      <x:c r="B200" s="5" t="str">
        <x:v>13-handshake-0x081B</x:v>
      </x:c>
      <x:c r="C200" s="5" t="str">
        <x:v>ecdsa_brainpoolP384r1_sha384</x:v>
      </x:c>
      <x:c r="D200" s="5" t="str">
        <x:v>Support ecdsa_brainpoolP384r1_sha384 for TLS1.3 handshake signatures</x:v>
      </x:c>
      <x:c r="E200" s="5" t="str">
        <x:v>Optional</x:v>
      </x:c>
      <x:c r="F200" s="5" t="str">
        <x:v>TLS1.3 selected; optional algorithm only if chosen</x:v>
      </x:c>
      <x:c r="G200" s="5" t="str"/>
      <x:c r="H200" s="5" t="str">
        <x:v>8.3.4.1;Tables5,17</x:v>
      </x:c>
      <x:c r="I200" s="5" t="str">
        <x:v>40,51</x:v>
      </x:c>
      <x:c r="J200" s="5" t="str">
        <x:v>32,43</x:v>
      </x:c>
      <x:c r="K200" s="5" t="str">
        <x:v>apps/ccli/third_party/libiec61850/hal/tls/mbedtls3; adapters/iec61850_mms/mms_adapter.cpp; adapters/iec60870_104/iec104_tls.cpp; cmake/tls_allowlist_validation.cmake</x:v>
      </x:c>
      <x:c r="L200" s="5" t="str">
        <x:v>HiTEKS security + Tespro platform</x:v>
      </x:c>
      <x:c r="M200" s="5" t="str">
        <x:v>Existing implementation area; requirement acceptance open</x:v>
      </x:c>
      <x:c r="N200" s="5" t="str">
        <x:v>Not demonstrated</x:v>
      </x:c>
      <x:c r="O200" s="5" t="str">
        <x:v>Use matching certificate/key type and force signature-scheme negotiation; retain positive/negative verification evidence. Verify: Support ecdsa_brainpoolP384r1_sha384 for TLS1.3 handshake signatures.</x:v>
      </x:c>
      <x:c r="P200" s="10" t="str"/>
      <x:c r="Q200" s="10" t="str">
        <x:v>Open</x:v>
      </x:c>
      <x:c r="R200" s="10" t="str"/>
      <x:c r="S200" s="10" t="str"/>
      <x:c r="T200" s="10" t="str"/>
      <x:c r="U200" s="5" t="str">
        <x:f>IF(Q200="Closed",IF(AND(R200&lt;&gt;"",S200&lt;&gt;""),"Closed recorded","Missing evidence/reviewer"),IF(Q200="N/A approved",IF(AND(T200&lt;&gt;"",S200&lt;&gt;""),"N/A recorded","Missing applicability approval"),"Open"))</x:f>
        <x:v>Open</x:v>
      </x:c>
      <x:c r="V200" s="5" t="str">
        <x:v>Normativa/EN IEC 62351-3-2023.pdf</x:v>
      </x:c>
      <x:c r="W200" s="5" t="str"/>
    </x:row>
    <x:row r="201" ht="36" customHeight="1">
      <x:c r="A201" s="5" t="str">
        <x:v>TLS-13-handshake-0x081C-01</x:v>
      </x:c>
      <x:c r="B201" s="5" t="str">
        <x:v>13-handshake-0x081C</x:v>
      </x:c>
      <x:c r="C201" s="5" t="str">
        <x:v>ecdsa_brainpoolP512r1_sha512</x:v>
      </x:c>
      <x:c r="D201" s="5" t="str">
        <x:v>Support ecdsa_brainpoolP512r1_sha512 for TLS1.3 handshake signatures</x:v>
      </x:c>
      <x:c r="E201" s="5" t="str">
        <x:v>Optional</x:v>
      </x:c>
      <x:c r="F201" s="5" t="str">
        <x:v>TLS1.3 selected; optional algorithm only if chosen</x:v>
      </x:c>
      <x:c r="G201" s="5" t="str"/>
      <x:c r="H201" s="5" t="str">
        <x:v>8.3.4.1;Tables5,17</x:v>
      </x:c>
      <x:c r="I201" s="5" t="str">
        <x:v>40,51</x:v>
      </x:c>
      <x:c r="J201" s="5" t="str">
        <x:v>32,43</x:v>
      </x:c>
      <x:c r="K201" s="5" t="str">
        <x:v>apps/ccli/third_party/libiec61850/hal/tls/mbedtls3; adapters/iec61850_mms/mms_adapter.cpp; adapters/iec60870_104/iec104_tls.cpp; cmake/tls_allowlist_validation.cmake</x:v>
      </x:c>
      <x:c r="L201" s="5" t="str">
        <x:v>HiTEKS security + Tespro platform</x:v>
      </x:c>
      <x:c r="M201" s="5" t="str">
        <x:v>Existing implementation area; requirement acceptance open</x:v>
      </x:c>
      <x:c r="N201" s="5" t="str">
        <x:v>Not demonstrated</x:v>
      </x:c>
      <x:c r="O201" s="5" t="str">
        <x:v>Use matching certificate/key type and force signature-scheme negotiation; retain positive/negative verification evidence. Verify: Support ecdsa_brainpoolP512r1_sha512 for TLS1.3 handshake signatures.</x:v>
      </x:c>
      <x:c r="P201" s="10" t="str"/>
      <x:c r="Q201" s="10" t="str">
        <x:v>Open</x:v>
      </x:c>
      <x:c r="R201" s="10" t="str"/>
      <x:c r="S201" s="10" t="str"/>
      <x:c r="T201" s="10" t="str"/>
      <x:c r="U201" s="5" t="str">
        <x:f>IF(Q201="Closed",IF(AND(R201&lt;&gt;"",S201&lt;&gt;""),"Closed recorded","Missing evidence/reviewer"),IF(Q201="N/A approved",IF(AND(T201&lt;&gt;"",S201&lt;&gt;""),"N/A recorded","Missing applicability approval"),"Open"))</x:f>
        <x:v>Open</x:v>
      </x:c>
      <x:c r="V201" s="5" t="str">
        <x:v>Normativa/EN IEC 62351-3-2023.pdf</x:v>
      </x:c>
      <x:c r="W201" s="5" t="str"/>
    </x:row>
    <x:row r="202" ht="36" customHeight="1">
      <x:c r="A202" s="5" t="str">
        <x:v>TLS-13-certificate-0x0401-01</x:v>
      </x:c>
      <x:c r="B202" s="5" t="str">
        <x:v>13-certificate-0x0401</x:v>
      </x:c>
      <x:c r="C202" s="5" t="str">
        <x:v>rsa_pkcs1_sha256</x:v>
      </x:c>
      <x:c r="D202" s="5" t="str">
        <x:v>Support rsa_pkcs1_sha256 for TLS1.3 certificate signatures</x:v>
      </x:c>
      <x:c r="E202" s="5" t="str">
        <x:v>Conditional mandatory</x:v>
      </x:c>
      <x:c r="F202" s="5" t="str">
        <x:v>TLS1.3 selected; optional algorithm only if chosen</x:v>
      </x:c>
      <x:c r="G202" s="5" t="str"/>
      <x:c r="H202" s="5" t="str">
        <x:v>8.3.4.2;Tables6,18</x:v>
      </x:c>
      <x:c r="I202" s="5" t="str">
        <x:v>41,52</x:v>
      </x:c>
      <x:c r="J202" s="5" t="str">
        <x:v>33,44</x:v>
      </x:c>
      <x:c r="K202" s="5" t="str">
        <x:v>apps/ccli/third_party/libiec61850/hal/tls/mbedtls3; adapters/iec61850_mms/mms_adapter.cpp; adapters/iec60870_104/iec104_tls.cpp; cmake/tls_allowlist_validation.cmake</x:v>
      </x:c>
      <x:c r="L202" s="5" t="str">
        <x:v>HiTEKS security + Tespro platform</x:v>
      </x:c>
      <x:c r="M202" s="5" t="str">
        <x:v>Existing implementation area; requirement acceptance open</x:v>
      </x:c>
      <x:c r="N202" s="5" t="str">
        <x:v>Not demonstrated</x:v>
      </x:c>
      <x:c r="O202" s="5" t="str">
        <x:v>Use matching certificate/key type and force signature-scheme negotiation; retain positive/negative verification evidence. Verify: Support rsa_pkcs1_sha256 for TLS1.3 certificate signatures.</x:v>
      </x:c>
      <x:c r="P202" s="10" t="str"/>
      <x:c r="Q202" s="10" t="str">
        <x:v>Open</x:v>
      </x:c>
      <x:c r="R202" s="10" t="str"/>
      <x:c r="S202" s="10" t="str"/>
      <x:c r="T202" s="10" t="str"/>
      <x:c r="U202" s="5" t="str">
        <x:f>IF(Q202="Closed",IF(AND(R202&lt;&gt;"",S202&lt;&gt;""),"Closed recorded","Missing evidence/reviewer"),IF(Q202="N/A approved",IF(AND(T202&lt;&gt;"",S202&lt;&gt;""),"N/A recorded","Missing applicability approval"),"Open"))</x:f>
        <x:v>Open</x:v>
      </x:c>
      <x:c r="V202" s="5" t="str">
        <x:v>Normativa/EN IEC 62351-3-2023.pdf</x:v>
      </x:c>
      <x:c r="W202" s="5" t="str"/>
    </x:row>
    <x:row r="203" ht="36" customHeight="1">
      <x:c r="A203" s="5" t="str">
        <x:v>TLS-13-certificate-0x0501-01</x:v>
      </x:c>
      <x:c r="B203" s="5" t="str">
        <x:v>13-certificate-0x0501</x:v>
      </x:c>
      <x:c r="C203" s="5" t="str">
        <x:v>rsa_pkcs1_sha384</x:v>
      </x:c>
      <x:c r="D203" s="5" t="str">
        <x:v>Support rsa_pkcs1_sha384 for TLS1.3 certificate signatures</x:v>
      </x:c>
      <x:c r="E203" s="5" t="str">
        <x:v>Optional</x:v>
      </x:c>
      <x:c r="F203" s="5" t="str">
        <x:v>TLS1.3 selected; optional algorithm only if chosen</x:v>
      </x:c>
      <x:c r="G203" s="5" t="str"/>
      <x:c r="H203" s="5" t="str">
        <x:v>8.3.4.2;Tables6,18</x:v>
      </x:c>
      <x:c r="I203" s="5" t="str">
        <x:v>41,52</x:v>
      </x:c>
      <x:c r="J203" s="5" t="str">
        <x:v>33,44</x:v>
      </x:c>
      <x:c r="K203" s="5" t="str">
        <x:v>apps/ccli/third_party/libiec61850/hal/tls/mbedtls3; adapters/iec61850_mms/mms_adapter.cpp; adapters/iec60870_104/iec104_tls.cpp; cmake/tls_allowlist_validation.cmake</x:v>
      </x:c>
      <x:c r="L203" s="5" t="str">
        <x:v>HiTEKS security + Tespro platform</x:v>
      </x:c>
      <x:c r="M203" s="5" t="str">
        <x:v>Existing implementation area; requirement acceptance open</x:v>
      </x:c>
      <x:c r="N203" s="5" t="str">
        <x:v>Not demonstrated</x:v>
      </x:c>
      <x:c r="O203" s="5" t="str">
        <x:v>Use matching certificate/key type and force signature-scheme negotiation; retain positive/negative verification evidence. Verify: Support rsa_pkcs1_sha384 for TLS1.3 certificate signatures.</x:v>
      </x:c>
      <x:c r="P203" s="10" t="str"/>
      <x:c r="Q203" s="10" t="str">
        <x:v>Open</x:v>
      </x:c>
      <x:c r="R203" s="10" t="str"/>
      <x:c r="S203" s="10" t="str"/>
      <x:c r="T203" s="10" t="str"/>
      <x:c r="U203" s="5" t="str">
        <x:f>IF(Q203="Closed",IF(AND(R203&lt;&gt;"",S203&lt;&gt;""),"Closed recorded","Missing evidence/reviewer"),IF(Q203="N/A approved",IF(AND(T203&lt;&gt;"",S203&lt;&gt;""),"N/A recorded","Missing applicability approval"),"Open"))</x:f>
        <x:v>Open</x:v>
      </x:c>
      <x:c r="V203" s="5" t="str">
        <x:v>Normativa/EN IEC 62351-3-2023.pdf</x:v>
      </x:c>
      <x:c r="W203" s="5" t="str"/>
    </x:row>
    <x:row r="204" ht="36" customHeight="1">
      <x:c r="A204" s="5" t="str">
        <x:v>TLS-13-certificate-0x0601-01</x:v>
      </x:c>
      <x:c r="B204" s="5" t="str">
        <x:v>13-certificate-0x0601</x:v>
      </x:c>
      <x:c r="C204" s="5" t="str">
        <x:v>rsa_pkcs1_sha512</x:v>
      </x:c>
      <x:c r="D204" s="5" t="str">
        <x:v>Support rsa_pkcs1_sha512 for TLS1.3 certificate signatures</x:v>
      </x:c>
      <x:c r="E204" s="5" t="str">
        <x:v>Optional</x:v>
      </x:c>
      <x:c r="F204" s="5" t="str">
        <x:v>TLS1.3 selected; optional algorithm only if chosen</x:v>
      </x:c>
      <x:c r="G204" s="5" t="str"/>
      <x:c r="H204" s="5" t="str">
        <x:v>8.3.4.2;Tables6,18</x:v>
      </x:c>
      <x:c r="I204" s="5" t="str">
        <x:v>41,52</x:v>
      </x:c>
      <x:c r="J204" s="5" t="str">
        <x:v>33,44</x:v>
      </x:c>
      <x:c r="K204" s="5" t="str">
        <x:v>apps/ccli/third_party/libiec61850/hal/tls/mbedtls3; adapters/iec61850_mms/mms_adapter.cpp; adapters/iec60870_104/iec104_tls.cpp; cmake/tls_allowlist_validation.cmake</x:v>
      </x:c>
      <x:c r="L204" s="5" t="str">
        <x:v>HiTEKS security + Tespro platform</x:v>
      </x:c>
      <x:c r="M204" s="5" t="str">
        <x:v>Existing implementation area; requirement acceptance open</x:v>
      </x:c>
      <x:c r="N204" s="5" t="str">
        <x:v>Not demonstrated</x:v>
      </x:c>
      <x:c r="O204" s="5" t="str">
        <x:v>Use matching certificate/key type and force signature-scheme negotiation; retain positive/negative verification evidence. Verify: Support rsa_pkcs1_sha512 for TLS1.3 certificate signatures.</x:v>
      </x:c>
      <x:c r="P204" s="10" t="str"/>
      <x:c r="Q204" s="10" t="str">
        <x:v>Open</x:v>
      </x:c>
      <x:c r="R204" s="10" t="str"/>
      <x:c r="S204" s="10" t="str"/>
      <x:c r="T204" s="10" t="str"/>
      <x:c r="U204" s="5" t="str">
        <x:f>IF(Q204="Closed",IF(AND(R204&lt;&gt;"",S204&lt;&gt;""),"Closed recorded","Missing evidence/reviewer"),IF(Q204="N/A approved",IF(AND(T204&lt;&gt;"",S204&lt;&gt;""),"N/A recorded","Missing applicability approval"),"Open"))</x:f>
        <x:v>Open</x:v>
      </x:c>
      <x:c r="V204" s="5" t="str">
        <x:v>Normativa/EN IEC 62351-3-2023.pdf</x:v>
      </x:c>
      <x:c r="W204" s="5" t="str"/>
    </x:row>
    <x:row r="205" ht="36" customHeight="1">
      <x:c r="A205" s="5" t="str">
        <x:v>TLS-13-certificate-0x0804-01</x:v>
      </x:c>
      <x:c r="B205" s="5" t="str">
        <x:v>13-certificate-0x0804</x:v>
      </x:c>
      <x:c r="C205" s="5" t="str">
        <x:v>rsa_pss_rsae_sha256</x:v>
      </x:c>
      <x:c r="D205" s="5" t="str">
        <x:v>Support rsa_pss_rsae_sha256 for TLS1.3 certificate signatures</x:v>
      </x:c>
      <x:c r="E205" s="5" t="str">
        <x:v>Conditional mandatory</x:v>
      </x:c>
      <x:c r="F205" s="5" t="str">
        <x:v>TLS1.3 selected; optional algorithm only if chosen</x:v>
      </x:c>
      <x:c r="G205" s="5" t="str"/>
      <x:c r="H205" s="5" t="str">
        <x:v>8.3.4.2;Tables6,18</x:v>
      </x:c>
      <x:c r="I205" s="5" t="str">
        <x:v>41,52</x:v>
      </x:c>
      <x:c r="J205" s="5" t="str">
        <x:v>33,44</x:v>
      </x:c>
      <x:c r="K205" s="5" t="str">
        <x:v>apps/ccli/third_party/libiec61850/hal/tls/mbedtls3; adapters/iec61850_mms/mms_adapter.cpp; adapters/iec60870_104/iec104_tls.cpp; cmake/tls_allowlist_validation.cmake</x:v>
      </x:c>
      <x:c r="L205" s="5" t="str">
        <x:v>HiTEKS security + Tespro platform</x:v>
      </x:c>
      <x:c r="M205" s="5" t="str">
        <x:v>Existing implementation area; requirement acceptance open</x:v>
      </x:c>
      <x:c r="N205" s="5" t="str">
        <x:v>Not demonstrated</x:v>
      </x:c>
      <x:c r="O205" s="5" t="str">
        <x:v>Use matching certificate/key type and force signature-scheme negotiation; retain positive/negative verification evidence. Verify: Support rsa_pss_rsae_sha256 for TLS1.3 certificate signatures.</x:v>
      </x:c>
      <x:c r="P205" s="10" t="str"/>
      <x:c r="Q205" s="10" t="str">
        <x:v>Open</x:v>
      </x:c>
      <x:c r="R205" s="10" t="str"/>
      <x:c r="S205" s="10" t="str"/>
      <x:c r="T205" s="10" t="str"/>
      <x:c r="U205" s="5" t="str">
        <x:f>IF(Q205="Closed",IF(AND(R205&lt;&gt;"",S205&lt;&gt;""),"Closed recorded","Missing evidence/reviewer"),IF(Q205="N/A approved",IF(AND(T205&lt;&gt;"",S205&lt;&gt;""),"N/A recorded","Missing applicability approval"),"Open"))</x:f>
        <x:v>Open</x:v>
      </x:c>
      <x:c r="V205" s="5" t="str">
        <x:v>Normativa/EN IEC 62351-3-2023.pdf</x:v>
      </x:c>
      <x:c r="W205" s="5" t="str"/>
    </x:row>
    <x:row r="206" ht="36" customHeight="1">
      <x:c r="A206" s="5" t="str">
        <x:v>TLS-13-certificate-0x0805-01</x:v>
      </x:c>
      <x:c r="B206" s="5" t="str">
        <x:v>13-certificate-0x0805</x:v>
      </x:c>
      <x:c r="C206" s="5" t="str">
        <x:v>rsa_pss_rsae_sha384</x:v>
      </x:c>
      <x:c r="D206" s="5" t="str">
        <x:v>Support rsa_pss_rsae_sha384 for TLS1.3 certificate signatures</x:v>
      </x:c>
      <x:c r="E206" s="5" t="str">
        <x:v>Optional</x:v>
      </x:c>
      <x:c r="F206" s="5" t="str">
        <x:v>TLS1.3 selected; optional algorithm only if chosen</x:v>
      </x:c>
      <x:c r="G206" s="5" t="str"/>
      <x:c r="H206" s="5" t="str">
        <x:v>8.3.4.2;Tables6,18</x:v>
      </x:c>
      <x:c r="I206" s="5" t="str">
        <x:v>41,52</x:v>
      </x:c>
      <x:c r="J206" s="5" t="str">
        <x:v>33,44</x:v>
      </x:c>
      <x:c r="K206" s="5" t="str">
        <x:v>apps/ccli/third_party/libiec61850/hal/tls/mbedtls3; adapters/iec61850_mms/mms_adapter.cpp; adapters/iec60870_104/iec104_tls.cpp; cmake/tls_allowlist_validation.cmake</x:v>
      </x:c>
      <x:c r="L206" s="5" t="str">
        <x:v>HiTEKS security + Tespro platform</x:v>
      </x:c>
      <x:c r="M206" s="5" t="str">
        <x:v>Existing implementation area; requirement acceptance open</x:v>
      </x:c>
      <x:c r="N206" s="5" t="str">
        <x:v>Not demonstrated</x:v>
      </x:c>
      <x:c r="O206" s="5" t="str">
        <x:v>Use matching certificate/key type and force signature-scheme negotiation; retain positive/negative verification evidence. Verify: Support rsa_pss_rsae_sha384 for TLS1.3 certificate signatures.</x:v>
      </x:c>
      <x:c r="P206" s="10" t="str"/>
      <x:c r="Q206" s="10" t="str">
        <x:v>Open</x:v>
      </x:c>
      <x:c r="R206" s="10" t="str"/>
      <x:c r="S206" s="10" t="str"/>
      <x:c r="T206" s="10" t="str"/>
      <x:c r="U206" s="5" t="str">
        <x:f>IF(Q206="Closed",IF(AND(R206&lt;&gt;"",S206&lt;&gt;""),"Closed recorded","Missing evidence/reviewer"),IF(Q206="N/A approved",IF(AND(T206&lt;&gt;"",S206&lt;&gt;""),"N/A recorded","Missing applicability approval"),"Open"))</x:f>
        <x:v>Open</x:v>
      </x:c>
      <x:c r="V206" s="5" t="str">
        <x:v>Normativa/EN IEC 62351-3-2023.pdf</x:v>
      </x:c>
      <x:c r="W206" s="5" t="str"/>
    </x:row>
    <x:row r="207" ht="36" customHeight="1">
      <x:c r="A207" s="5" t="str">
        <x:v>TLS-13-certificate-0x0806-01</x:v>
      </x:c>
      <x:c r="B207" s="5" t="str">
        <x:v>13-certificate-0x0806</x:v>
      </x:c>
      <x:c r="C207" s="5" t="str">
        <x:v>rsa_pss_rsae_sha512</x:v>
      </x:c>
      <x:c r="D207" s="5" t="str">
        <x:v>Support rsa_pss_rsae_sha512 for TLS1.3 certificate signatures</x:v>
      </x:c>
      <x:c r="E207" s="5" t="str">
        <x:v>Optional</x:v>
      </x:c>
      <x:c r="F207" s="5" t="str">
        <x:v>TLS1.3 selected; optional algorithm only if chosen</x:v>
      </x:c>
      <x:c r="G207" s="5" t="str"/>
      <x:c r="H207" s="5" t="str">
        <x:v>8.3.4.2;Tables6,18</x:v>
      </x:c>
      <x:c r="I207" s="5" t="str">
        <x:v>41,52</x:v>
      </x:c>
      <x:c r="J207" s="5" t="str">
        <x:v>33,44</x:v>
      </x:c>
      <x:c r="K207" s="5" t="str">
        <x:v>apps/ccli/third_party/libiec61850/hal/tls/mbedtls3; adapters/iec61850_mms/mms_adapter.cpp; adapters/iec60870_104/iec104_tls.cpp; cmake/tls_allowlist_validation.cmake</x:v>
      </x:c>
      <x:c r="L207" s="5" t="str">
        <x:v>HiTEKS security + Tespro platform</x:v>
      </x:c>
      <x:c r="M207" s="5" t="str">
        <x:v>Existing implementation area; requirement acceptance open</x:v>
      </x:c>
      <x:c r="N207" s="5" t="str">
        <x:v>Not demonstrated</x:v>
      </x:c>
      <x:c r="O207" s="5" t="str">
        <x:v>Use matching certificate/key type and force signature-scheme negotiation; retain positive/negative verification evidence. Verify: Support rsa_pss_rsae_sha512 for TLS1.3 certificate signatures.</x:v>
      </x:c>
      <x:c r="P207" s="10" t="str"/>
      <x:c r="Q207" s="10" t="str">
        <x:v>Open</x:v>
      </x:c>
      <x:c r="R207" s="10" t="str"/>
      <x:c r="S207" s="10" t="str"/>
      <x:c r="T207" s="10" t="str"/>
      <x:c r="U207" s="5" t="str">
        <x:f>IF(Q207="Closed",IF(AND(R207&lt;&gt;"",S207&lt;&gt;""),"Closed recorded","Missing evidence/reviewer"),IF(Q207="N/A approved",IF(AND(T207&lt;&gt;"",S207&lt;&gt;""),"N/A recorded","Missing applicability approval"),"Open"))</x:f>
        <x:v>Open</x:v>
      </x:c>
      <x:c r="V207" s="5" t="str">
        <x:v>Normativa/EN IEC 62351-3-2023.pdf</x:v>
      </x:c>
      <x:c r="W207" s="5" t="str"/>
    </x:row>
    <x:row r="208" ht="36" customHeight="1">
      <x:c r="A208" s="5" t="str">
        <x:v>TLS-13-certificate-0x0809-01</x:v>
      </x:c>
      <x:c r="B208" s="5" t="str">
        <x:v>13-certificate-0x0809</x:v>
      </x:c>
      <x:c r="C208" s="5" t="str">
        <x:v>rsa_pss_pss_sha256</x:v>
      </x:c>
      <x:c r="D208" s="5" t="str">
        <x:v>Support rsa_pss_pss_sha256 for TLS1.3 certificate signatures</x:v>
      </x:c>
      <x:c r="E208" s="5" t="str">
        <x:v>Conditional mandatory</x:v>
      </x:c>
      <x:c r="F208" s="5" t="str">
        <x:v>TLS1.3 selected; optional algorithm only if chosen</x:v>
      </x:c>
      <x:c r="G208" s="5" t="str"/>
      <x:c r="H208" s="5" t="str">
        <x:v>8.3.4.2;Tables6,18</x:v>
      </x:c>
      <x:c r="I208" s="5" t="str">
        <x:v>41,52</x:v>
      </x:c>
      <x:c r="J208" s="5" t="str">
        <x:v>33,44</x:v>
      </x:c>
      <x:c r="K208" s="5" t="str">
        <x:v>apps/ccli/third_party/libiec61850/hal/tls/mbedtls3; adapters/iec61850_mms/mms_adapter.cpp; adapters/iec60870_104/iec104_tls.cpp; cmake/tls_allowlist_validation.cmake</x:v>
      </x:c>
      <x:c r="L208" s="5" t="str">
        <x:v>HiTEKS security + Tespro platform</x:v>
      </x:c>
      <x:c r="M208" s="5" t="str">
        <x:v>Existing implementation area; requirement acceptance open</x:v>
      </x:c>
      <x:c r="N208" s="5" t="str">
        <x:v>Not demonstrated</x:v>
      </x:c>
      <x:c r="O208" s="5" t="str">
        <x:v>Use matching certificate/key type and force signature-scheme negotiation; retain positive/negative verification evidence. Verify: Support rsa_pss_pss_sha256 for TLS1.3 certificate signatures.</x:v>
      </x:c>
      <x:c r="P208" s="10" t="str"/>
      <x:c r="Q208" s="10" t="str">
        <x:v>Open</x:v>
      </x:c>
      <x:c r="R208" s="10" t="str"/>
      <x:c r="S208" s="10" t="str"/>
      <x:c r="T208" s="10" t="str"/>
      <x:c r="U208" s="5" t="str">
        <x:f>IF(Q208="Closed",IF(AND(R208&lt;&gt;"",S208&lt;&gt;""),"Closed recorded","Missing evidence/reviewer"),IF(Q208="N/A approved",IF(AND(T208&lt;&gt;"",S208&lt;&gt;""),"N/A recorded","Missing applicability approval"),"Open"))</x:f>
        <x:v>Open</x:v>
      </x:c>
      <x:c r="V208" s="5" t="str">
        <x:v>Normativa/EN IEC 62351-3-2023.pdf</x:v>
      </x:c>
      <x:c r="W208" s="5" t="str"/>
    </x:row>
    <x:row r="209" ht="36" customHeight="1">
      <x:c r="A209" s="5" t="str">
        <x:v>TLS-13-certificate-0x080A-01</x:v>
      </x:c>
      <x:c r="B209" s="5" t="str">
        <x:v>13-certificate-0x080A</x:v>
      </x:c>
      <x:c r="C209" s="5" t="str">
        <x:v>rsa_pss_pss_sha384</x:v>
      </x:c>
      <x:c r="D209" s="5" t="str">
        <x:v>Support rsa_pss_pss_sha384 for TLS1.3 certificate signatures</x:v>
      </x:c>
      <x:c r="E209" s="5" t="str">
        <x:v>Optional</x:v>
      </x:c>
      <x:c r="F209" s="5" t="str">
        <x:v>TLS1.3 selected; optional algorithm only if chosen</x:v>
      </x:c>
      <x:c r="G209" s="5" t="str"/>
      <x:c r="H209" s="5" t="str">
        <x:v>8.3.4.2;Tables6,18</x:v>
      </x:c>
      <x:c r="I209" s="5" t="str">
        <x:v>41,52</x:v>
      </x:c>
      <x:c r="J209" s="5" t="str">
        <x:v>33,44</x:v>
      </x:c>
      <x:c r="K209" s="5" t="str">
        <x:v>apps/ccli/third_party/libiec61850/hal/tls/mbedtls3; adapters/iec61850_mms/mms_adapter.cpp; adapters/iec60870_104/iec104_tls.cpp; cmake/tls_allowlist_validation.cmake</x:v>
      </x:c>
      <x:c r="L209" s="5" t="str">
        <x:v>HiTEKS security + Tespro platform</x:v>
      </x:c>
      <x:c r="M209" s="5" t="str">
        <x:v>Existing implementation area; requirement acceptance open</x:v>
      </x:c>
      <x:c r="N209" s="5" t="str">
        <x:v>Not demonstrated</x:v>
      </x:c>
      <x:c r="O209" s="5" t="str">
        <x:v>Use matching certificate/key type and force signature-scheme negotiation; retain positive/negative verification evidence. Verify: Support rsa_pss_pss_sha384 for TLS1.3 certificate signatures.</x:v>
      </x:c>
      <x:c r="P209" s="10" t="str"/>
      <x:c r="Q209" s="10" t="str">
        <x:v>Open</x:v>
      </x:c>
      <x:c r="R209" s="10" t="str"/>
      <x:c r="S209" s="10" t="str"/>
      <x:c r="T209" s="10" t="str"/>
      <x:c r="U209" s="5" t="str">
        <x:f>IF(Q209="Closed",IF(AND(R209&lt;&gt;"",S209&lt;&gt;""),"Closed recorded","Missing evidence/reviewer"),IF(Q209="N/A approved",IF(AND(T209&lt;&gt;"",S209&lt;&gt;""),"N/A recorded","Missing applicability approval"),"Open"))</x:f>
        <x:v>Open</x:v>
      </x:c>
      <x:c r="V209" s="5" t="str">
        <x:v>Normativa/EN IEC 62351-3-2023.pdf</x:v>
      </x:c>
      <x:c r="W209" s="5" t="str"/>
    </x:row>
    <x:row r="210" ht="36" customHeight="1">
      <x:c r="A210" s="5" t="str">
        <x:v>TLS-13-certificate-0x080B-01</x:v>
      </x:c>
      <x:c r="B210" s="5" t="str">
        <x:v>13-certificate-0x080B</x:v>
      </x:c>
      <x:c r="C210" s="5" t="str">
        <x:v>rsa_pss_pss_sha512</x:v>
      </x:c>
      <x:c r="D210" s="5" t="str">
        <x:v>Support rsa_pss_pss_sha512 for TLS1.3 certificate signatures</x:v>
      </x:c>
      <x:c r="E210" s="5" t="str">
        <x:v>Optional</x:v>
      </x:c>
      <x:c r="F210" s="5" t="str">
        <x:v>TLS1.3 selected; optional algorithm only if chosen</x:v>
      </x:c>
      <x:c r="G210" s="5" t="str"/>
      <x:c r="H210" s="5" t="str">
        <x:v>8.3.4.2;Tables6,18</x:v>
      </x:c>
      <x:c r="I210" s="5" t="str">
        <x:v>41,52</x:v>
      </x:c>
      <x:c r="J210" s="5" t="str">
        <x:v>33,44</x:v>
      </x:c>
      <x:c r="K210" s="5" t="str">
        <x:v>apps/ccli/third_party/libiec61850/hal/tls/mbedtls3; adapters/iec61850_mms/mms_adapter.cpp; adapters/iec60870_104/iec104_tls.cpp; cmake/tls_allowlist_validation.cmake</x:v>
      </x:c>
      <x:c r="L210" s="5" t="str">
        <x:v>HiTEKS security + Tespro platform</x:v>
      </x:c>
      <x:c r="M210" s="5" t="str">
        <x:v>Existing implementation area; requirement acceptance open</x:v>
      </x:c>
      <x:c r="N210" s="5" t="str">
        <x:v>Not demonstrated</x:v>
      </x:c>
      <x:c r="O210" s="5" t="str">
        <x:v>Use matching certificate/key type and force signature-scheme negotiation; retain positive/negative verification evidence. Verify: Support rsa_pss_pss_sha512 for TLS1.3 certificate signatures.</x:v>
      </x:c>
      <x:c r="P210" s="10" t="str"/>
      <x:c r="Q210" s="10" t="str">
        <x:v>Open</x:v>
      </x:c>
      <x:c r="R210" s="10" t="str"/>
      <x:c r="S210" s="10" t="str"/>
      <x:c r="T210" s="10" t="str"/>
      <x:c r="U210" s="5" t="str">
        <x:f>IF(Q210="Closed",IF(AND(R210&lt;&gt;"",S210&lt;&gt;""),"Closed recorded","Missing evidence/reviewer"),IF(Q210="N/A approved",IF(AND(T210&lt;&gt;"",S210&lt;&gt;""),"N/A recorded","Missing applicability approval"),"Open"))</x:f>
        <x:v>Open</x:v>
      </x:c>
      <x:c r="V210" s="5" t="str">
        <x:v>Normativa/EN IEC 62351-3-2023.pdf</x:v>
      </x:c>
      <x:c r="W210" s="5" t="str"/>
    </x:row>
    <x:row r="211" ht="36" customHeight="1">
      <x:c r="A211" s="5" t="str">
        <x:v>TLS-13-certificate-0x0403-01</x:v>
      </x:c>
      <x:c r="B211" s="5" t="str">
        <x:v>13-certificate-0x0403</x:v>
      </x:c>
      <x:c r="C211" s="5" t="str">
        <x:v>ecdsa_secp256r1_sha256</x:v>
      </x:c>
      <x:c r="D211" s="5" t="str">
        <x:v>Support ecdsa_secp256r1_sha256 for TLS1.3 certificate signatures</x:v>
      </x:c>
      <x:c r="E211" s="5" t="str">
        <x:v>Conditional mandatory</x:v>
      </x:c>
      <x:c r="F211" s="5" t="str">
        <x:v>TLS1.3 selected; optional algorithm only if chosen</x:v>
      </x:c>
      <x:c r="G211" s="5" t="str"/>
      <x:c r="H211" s="5" t="str">
        <x:v>8.3.4.2;Tables6,18</x:v>
      </x:c>
      <x:c r="I211" s="5" t="str">
        <x:v>41,52</x:v>
      </x:c>
      <x:c r="J211" s="5" t="str">
        <x:v>33,44</x:v>
      </x:c>
      <x:c r="K211" s="5" t="str">
        <x:v>apps/ccli/third_party/libiec61850/hal/tls/mbedtls3; adapters/iec61850_mms/mms_adapter.cpp; adapters/iec60870_104/iec104_tls.cpp; cmake/tls_allowlist_validation.cmake</x:v>
      </x:c>
      <x:c r="L211" s="5" t="str">
        <x:v>HiTEKS security + Tespro platform</x:v>
      </x:c>
      <x:c r="M211" s="5" t="str">
        <x:v>Existing implementation area; requirement acceptance open</x:v>
      </x:c>
      <x:c r="N211" s="5" t="str">
        <x:v>Not demonstrated</x:v>
      </x:c>
      <x:c r="O211" s="5" t="str">
        <x:v>Use matching certificate/key type and force signature-scheme negotiation; retain positive/negative verification evidence. Verify: Support ecdsa_secp256r1_sha256 for TLS1.3 certificate signatures.</x:v>
      </x:c>
      <x:c r="P211" s="10" t="str"/>
      <x:c r="Q211" s="10" t="str">
        <x:v>Open</x:v>
      </x:c>
      <x:c r="R211" s="10" t="str"/>
      <x:c r="S211" s="10" t="str"/>
      <x:c r="T211" s="10" t="str"/>
      <x:c r="U211" s="5" t="str">
        <x:f>IF(Q211="Closed",IF(AND(R211&lt;&gt;"",S211&lt;&gt;""),"Closed recorded","Missing evidence/reviewer"),IF(Q211="N/A approved",IF(AND(T211&lt;&gt;"",S211&lt;&gt;""),"N/A recorded","Missing applicability approval"),"Open"))</x:f>
        <x:v>Open</x:v>
      </x:c>
      <x:c r="V211" s="5" t="str">
        <x:v>Normativa/EN IEC 62351-3-2023.pdf</x:v>
      </x:c>
      <x:c r="W211" s="5" t="str"/>
    </x:row>
    <x:row r="212" ht="36" customHeight="1">
      <x:c r="A212" s="5" t="str">
        <x:v>TLS-13-certificate-0x0503-01</x:v>
      </x:c>
      <x:c r="B212" s="5" t="str">
        <x:v>13-certificate-0x0503</x:v>
      </x:c>
      <x:c r="C212" s="5" t="str">
        <x:v>ecdsa_secp384r1_sha384</x:v>
      </x:c>
      <x:c r="D212" s="5" t="str">
        <x:v>Support ecdsa_secp384r1_sha384 for TLS1.3 certificate signatures</x:v>
      </x:c>
      <x:c r="E212" s="5" t="str">
        <x:v>Optional</x:v>
      </x:c>
      <x:c r="F212" s="5" t="str">
        <x:v>TLS1.3 selected; optional algorithm only if chosen</x:v>
      </x:c>
      <x:c r="G212" s="5" t="str"/>
      <x:c r="H212" s="5" t="str">
        <x:v>8.3.4.2;Tables6,18</x:v>
      </x:c>
      <x:c r="I212" s="5" t="str">
        <x:v>41,52</x:v>
      </x:c>
      <x:c r="J212" s="5" t="str">
        <x:v>33,44</x:v>
      </x:c>
      <x:c r="K212" s="5" t="str">
        <x:v>apps/ccli/third_party/libiec61850/hal/tls/mbedtls3; adapters/iec61850_mms/mms_adapter.cpp; adapters/iec60870_104/iec104_tls.cpp; cmake/tls_allowlist_validation.cmake</x:v>
      </x:c>
      <x:c r="L212" s="5" t="str">
        <x:v>HiTEKS security + Tespro platform</x:v>
      </x:c>
      <x:c r="M212" s="5" t="str">
        <x:v>Existing implementation area; requirement acceptance open</x:v>
      </x:c>
      <x:c r="N212" s="5" t="str">
        <x:v>Not demonstrated</x:v>
      </x:c>
      <x:c r="O212" s="5" t="str">
        <x:v>Use matching certificate/key type and force signature-scheme negotiation; retain positive/negative verification evidence. Verify: Support ecdsa_secp384r1_sha384 for TLS1.3 certificate signatures.</x:v>
      </x:c>
      <x:c r="P212" s="10" t="str"/>
      <x:c r="Q212" s="10" t="str">
        <x:v>Open</x:v>
      </x:c>
      <x:c r="R212" s="10" t="str"/>
      <x:c r="S212" s="10" t="str"/>
      <x:c r="T212" s="10" t="str"/>
      <x:c r="U212" s="5" t="str">
        <x:f>IF(Q212="Closed",IF(AND(R212&lt;&gt;"",S212&lt;&gt;""),"Closed recorded","Missing evidence/reviewer"),IF(Q212="N/A approved",IF(AND(T212&lt;&gt;"",S212&lt;&gt;""),"N/A recorded","Missing applicability approval"),"Open"))</x:f>
        <x:v>Open</x:v>
      </x:c>
      <x:c r="V212" s="5" t="str">
        <x:v>Normativa/EN IEC 62351-3-2023.pdf</x:v>
      </x:c>
      <x:c r="W212" s="5" t="str"/>
    </x:row>
    <x:row r="213" ht="36" customHeight="1">
      <x:c r="A213" s="5" t="str">
        <x:v>TLS-13-certificate-0x081A-01</x:v>
      </x:c>
      <x:c r="B213" s="5" t="str">
        <x:v>13-certificate-0x081A</x:v>
      </x:c>
      <x:c r="C213" s="5" t="str">
        <x:v>ecdsa_brainpoolP256r1_sha256</x:v>
      </x:c>
      <x:c r="D213" s="5" t="str">
        <x:v>Support ecdsa_brainpoolP256r1_sha256 for TLS1.3 certificate signatures</x:v>
      </x:c>
      <x:c r="E213" s="5" t="str">
        <x:v>Optional</x:v>
      </x:c>
      <x:c r="F213" s="5" t="str">
        <x:v>TLS1.3 selected; optional algorithm only if chosen</x:v>
      </x:c>
      <x:c r="G213" s="5" t="str"/>
      <x:c r="H213" s="5" t="str">
        <x:v>8.3.4.2;Tables6,18</x:v>
      </x:c>
      <x:c r="I213" s="5" t="str">
        <x:v>41,52</x:v>
      </x:c>
      <x:c r="J213" s="5" t="str">
        <x:v>33,44</x:v>
      </x:c>
      <x:c r="K213" s="5" t="str">
        <x:v>apps/ccli/third_party/libiec61850/hal/tls/mbedtls3; adapters/iec61850_mms/mms_adapter.cpp; adapters/iec60870_104/iec104_tls.cpp; cmake/tls_allowlist_validation.cmake</x:v>
      </x:c>
      <x:c r="L213" s="5" t="str">
        <x:v>HiTEKS security + Tespro platform</x:v>
      </x:c>
      <x:c r="M213" s="5" t="str">
        <x:v>Existing implementation area; requirement acceptance open</x:v>
      </x:c>
      <x:c r="N213" s="5" t="str">
        <x:v>Not demonstrated</x:v>
      </x:c>
      <x:c r="O213" s="5" t="str">
        <x:v>Use matching certificate/key type and force signature-scheme negotiation; retain positive/negative verification evidence. Verify: Support ecdsa_brainpoolP256r1_sha256 for TLS1.3 certificate signatures.</x:v>
      </x:c>
      <x:c r="P213" s="10" t="str"/>
      <x:c r="Q213" s="10" t="str">
        <x:v>Open</x:v>
      </x:c>
      <x:c r="R213" s="10" t="str"/>
      <x:c r="S213" s="10" t="str"/>
      <x:c r="T213" s="10" t="str"/>
      <x:c r="U213" s="5" t="str">
        <x:f>IF(Q213="Closed",IF(AND(R213&lt;&gt;"",S213&lt;&gt;""),"Closed recorded","Missing evidence/reviewer"),IF(Q213="N/A approved",IF(AND(T213&lt;&gt;"",S213&lt;&gt;""),"N/A recorded","Missing applicability approval"),"Open"))</x:f>
        <x:v>Open</x:v>
      </x:c>
      <x:c r="V213" s="5" t="str">
        <x:v>Normativa/EN IEC 62351-3-2023.pdf</x:v>
      </x:c>
      <x:c r="W213" s="5" t="str"/>
    </x:row>
    <x:row r="214" ht="36" customHeight="1">
      <x:c r="A214" s="5" t="str">
        <x:v>TLS-13-certificate-0x081B-01</x:v>
      </x:c>
      <x:c r="B214" s="5" t="str">
        <x:v>13-certificate-0x081B</x:v>
      </x:c>
      <x:c r="C214" s="5" t="str">
        <x:v>ecdsa_brainpoolP384r1_sha384</x:v>
      </x:c>
      <x:c r="D214" s="5" t="str">
        <x:v>Support ecdsa_brainpoolP384r1_sha384 for TLS1.3 certificate signatures</x:v>
      </x:c>
      <x:c r="E214" s="5" t="str">
        <x:v>Optional</x:v>
      </x:c>
      <x:c r="F214" s="5" t="str">
        <x:v>TLS1.3 selected; optional algorithm only if chosen</x:v>
      </x:c>
      <x:c r="G214" s="5" t="str"/>
      <x:c r="H214" s="5" t="str">
        <x:v>8.3.4.2;Tables6,18</x:v>
      </x:c>
      <x:c r="I214" s="5" t="str">
        <x:v>41,52</x:v>
      </x:c>
      <x:c r="J214" s="5" t="str">
        <x:v>33,44</x:v>
      </x:c>
      <x:c r="K214" s="5" t="str">
        <x:v>apps/ccli/third_party/libiec61850/hal/tls/mbedtls3; adapters/iec61850_mms/mms_adapter.cpp; adapters/iec60870_104/iec104_tls.cpp; cmake/tls_allowlist_validation.cmake</x:v>
      </x:c>
      <x:c r="L214" s="5" t="str">
        <x:v>HiTEKS security + Tespro platform</x:v>
      </x:c>
      <x:c r="M214" s="5" t="str">
        <x:v>Existing implementation area; requirement acceptance open</x:v>
      </x:c>
      <x:c r="N214" s="5" t="str">
        <x:v>Not demonstrated</x:v>
      </x:c>
      <x:c r="O214" s="5" t="str">
        <x:v>Use matching certificate/key type and force signature-scheme negotiation; retain positive/negative verification evidence. Verify: Support ecdsa_brainpoolP384r1_sha384 for TLS1.3 certificate signatures.</x:v>
      </x:c>
      <x:c r="P214" s="10" t="str"/>
      <x:c r="Q214" s="10" t="str">
        <x:v>Open</x:v>
      </x:c>
      <x:c r="R214" s="10" t="str"/>
      <x:c r="S214" s="10" t="str"/>
      <x:c r="T214" s="10" t="str"/>
      <x:c r="U214" s="5" t="str">
        <x:f>IF(Q214="Closed",IF(AND(R214&lt;&gt;"",S214&lt;&gt;""),"Closed recorded","Missing evidence/reviewer"),IF(Q214="N/A approved",IF(AND(T214&lt;&gt;"",S214&lt;&gt;""),"N/A recorded","Missing applicability approval"),"Open"))</x:f>
        <x:v>Open</x:v>
      </x:c>
      <x:c r="V214" s="5" t="str">
        <x:v>Normativa/EN IEC 62351-3-2023.pdf</x:v>
      </x:c>
      <x:c r="W214" s="5" t="str"/>
    </x:row>
    <x:row r="215" ht="36" customHeight="1">
      <x:c r="A215" s="5" t="str">
        <x:v>TLS-13-certificate-0x081C-01</x:v>
      </x:c>
      <x:c r="B215" s="5" t="str">
        <x:v>13-certificate-0x081C</x:v>
      </x:c>
      <x:c r="C215" s="5" t="str">
        <x:v>ecdsa_brainpoolP512r1_sha512</x:v>
      </x:c>
      <x:c r="D215" s="5" t="str">
        <x:v>Support ecdsa_brainpoolP512r1_sha512 for TLS1.3 certificate signatures</x:v>
      </x:c>
      <x:c r="E215" s="5" t="str">
        <x:v>Optional</x:v>
      </x:c>
      <x:c r="F215" s="5" t="str">
        <x:v>TLS1.3 selected; optional algorithm only if chosen</x:v>
      </x:c>
      <x:c r="G215" s="5" t="str"/>
      <x:c r="H215" s="5" t="str">
        <x:v>8.3.4.2;Tables6,18</x:v>
      </x:c>
      <x:c r="I215" s="5" t="str">
        <x:v>41,52</x:v>
      </x:c>
      <x:c r="J215" s="5" t="str">
        <x:v>33,44</x:v>
      </x:c>
      <x:c r="K215" s="5" t="str">
        <x:v>apps/ccli/third_party/libiec61850/hal/tls/mbedtls3; adapters/iec61850_mms/mms_adapter.cpp; adapters/iec60870_104/iec104_tls.cpp; cmake/tls_allowlist_validation.cmake</x:v>
      </x:c>
      <x:c r="L215" s="5" t="str">
        <x:v>HiTEKS security + Tespro platform</x:v>
      </x:c>
      <x:c r="M215" s="5" t="str">
        <x:v>Existing implementation area; requirement acceptance open</x:v>
      </x:c>
      <x:c r="N215" s="5" t="str">
        <x:v>Not demonstrated</x:v>
      </x:c>
      <x:c r="O215" s="5" t="str">
        <x:v>Use matching certificate/key type and force signature-scheme negotiation; retain positive/negative verification evidence. Verify: Support ecdsa_brainpoolP512r1_sha512 for TLS1.3 certificate signatures.</x:v>
      </x:c>
      <x:c r="P215" s="10" t="str"/>
      <x:c r="Q215" s="10" t="str">
        <x:v>Open</x:v>
      </x:c>
      <x:c r="R215" s="10" t="str"/>
      <x:c r="S215" s="10" t="str"/>
      <x:c r="T215" s="10" t="str"/>
      <x:c r="U215" s="5" t="str">
        <x:f>IF(Q215="Closed",IF(AND(R215&lt;&gt;"",S215&lt;&gt;""),"Closed recorded","Missing evidence/reviewer"),IF(Q215="N/A approved",IF(AND(T215&lt;&gt;"",S215&lt;&gt;""),"N/A recorded","Missing applicability approval"),"Open"))</x:f>
        <x:v>Open</x:v>
      </x:c>
      <x:c r="V215" s="5" t="str">
        <x:v>Normativa/EN IEC 62351-3-2023.pdf</x:v>
      </x:c>
      <x:c r="W215" s="5" t="str"/>
    </x:row>
    <x:row r="216" ht="47" customHeight="1">
      <x:c r="A216" s="5" t="str">
        <x:v>TLS-OPT-13-ENABLE-01</x:v>
      </x:c>
      <x:c r="B216" s="5" t="str">
        <x:v>OPT-13-ENABLE</x:v>
      </x:c>
      <x:c r="C216" s="5" t="str">
        <x:v>TLS1.3 support</x:v>
      </x:c>
      <x:c r="D216" s="5" t="str">
        <x:v>TLS1.3 is recommended/optional overall; if adopted, all applicable clause8 and Tables13-20 obligations become mandatory</x:v>
      </x:c>
      <x:c r="E216" s="5" t="str">
        <x:v>Recommendation / optional</x:v>
      </x:c>
      <x:c r="F216" s="5" t="str">
        <x:v>Product/profile selection; do not count as unconditional mandatory</x:v>
      </x:c>
      <x:c r="G216" s="5" t="str"/>
      <x:c r="H216" s="5" t="str">
        <x:v>6.2</x:v>
      </x:c>
      <x:c r="I216" s="5" t="str">
        <x:v>23</x:v>
      </x:c>
      <x:c r="J216" s="5" t="str">
        <x:v>15</x:v>
      </x:c>
      <x:c r="K216" s="5" t="str">
        <x:v>Architecture/CCI_Runtime_Dataflow_Architecture.md; Architecture/Software_Architecture.md; knowledge-base/08-engineering/CCI_62443_Zones.md</x:v>
      </x:c>
      <x:c r="L216" s="5" t="str">
        <x:v>HiTEKS architect</x:v>
      </x:c>
      <x:c r="M216" s="5" t="str">
        <x:v>Not demonstrated</x:v>
      </x:c>
      <x:c r="N216" s="5" t="str">
        <x:v>Not demonstrated</x:v>
      </x:c>
      <x:c r="O216" s="5" t="str">
        <x:v>Approved design/traceability review; exercise the relevant trust boundary and record residual risks. Verify: TLS1.3 is recommended/optional overall; if adopted, all applicable clause8 and Tables13-20 obligations become mandatory.</x:v>
      </x:c>
      <x:c r="P216" s="10" t="str"/>
      <x:c r="Q216" s="10" t="str">
        <x:v>Open</x:v>
      </x:c>
      <x:c r="R216" s="10" t="str"/>
      <x:c r="S216" s="10" t="str"/>
      <x:c r="T216" s="10" t="str"/>
      <x:c r="U216" s="5" t="str">
        <x:f>IF(Q216="Closed",IF(AND(R216&lt;&gt;"",S216&lt;&gt;""),"Closed recorded","Missing evidence/reviewer"),IF(Q216="N/A approved",IF(AND(T216&lt;&gt;"",S216&lt;&gt;""),"N/A recorded","Missing applicability approval"),"Open"))</x:f>
        <x:v>Open</x:v>
      </x:c>
      <x:c r="V216" s="5" t="str">
        <x:v>Normativa/EN IEC 62351-3-2023.pdf</x:v>
      </x:c>
      <x:c r="W216" s="5" t="str"/>
    </x:row>
    <x:row r="217" ht="47" customHeight="1">
      <x:c r="A217" s="5" t="str">
        <x:v>TLS-OPT-OCSP-QUERY-01</x:v>
      </x:c>
      <x:c r="B217" s="5" t="str">
        <x:v>OPT-OCSP-QUERY</x:v>
      </x:c>
      <x:c r="C217" s="5" t="str">
        <x:v>Direct OCSP querying</x:v>
      </x:c>
      <x:c r="D217" s="5" t="str">
        <x:v>Direct online responder querying is recommended; mandatory ability to process/validate supplied responses is tracked separately</x:v>
      </x:c>
      <x:c r="E217" s="5" t="str">
        <x:v>Recommendation / optional</x:v>
      </x:c>
      <x:c r="F217" s="5" t="str">
        <x:v>Product/profile selection; do not count as unconditional mandatory</x:v>
      </x:c>
      <x:c r="G217" s="5" t="str"/>
      <x:c r="H217" s="5" t="str">
        <x:v>6.4.4.4.3</x:v>
      </x:c>
      <x:c r="I217" s="5" t="str">
        <x:v>28</x:v>
      </x:c>
      <x:c r="J217" s="5" t="str">
        <x:v>20</x:v>
      </x:c>
      <x:c r="K217" s="5" t="str">
        <x:v>Architecture/CCI_Runtime_Dataflow_Architecture.md; Architecture/Software_Architecture.md; knowledge-base/08-engineering/CCI_62443_Zones.md</x:v>
      </x:c>
      <x:c r="L217" s="5" t="str">
        <x:v>HiTEKS architect</x:v>
      </x:c>
      <x:c r="M217" s="5" t="str">
        <x:v>Not demonstrated</x:v>
      </x:c>
      <x:c r="N217" s="5" t="str">
        <x:v>Not demonstrated</x:v>
      </x:c>
      <x:c r="O217" s="5" t="str">
        <x:v>Approved design/traceability review; exercise the relevant trust boundary and record residual risks. Verify: Direct online responder querying is recommended; mandatory ability to process/validate supplied responses is tracked separately.</x:v>
      </x:c>
      <x:c r="P217" s="10" t="str"/>
      <x:c r="Q217" s="10" t="str">
        <x:v>Open</x:v>
      </x:c>
      <x:c r="R217" s="10" t="str"/>
      <x:c r="S217" s="10" t="str"/>
      <x:c r="T217" s="10" t="str"/>
      <x:c r="U217" s="5" t="str">
        <x:f>IF(Q217="Closed",IF(AND(R217&lt;&gt;"",S217&lt;&gt;""),"Closed recorded","Missing evidence/reviewer"),IF(Q217="N/A approved",IF(AND(T217&lt;&gt;"",S217&lt;&gt;""),"N/A recorded","Missing applicability approval"),"Open"))</x:f>
        <x:v>Open</x:v>
      </x:c>
      <x:c r="V217" s="5" t="str">
        <x:v>Normativa/EN IEC 62351-3-2023.pdf</x:v>
      </x:c>
      <x:c r="W217" s="5" t="str"/>
    </x:row>
    <x:row r="218" ht="36" customHeight="1">
      <x:c r="A218" s="5" t="str">
        <x:v>TLS-OPT-TRUSTED-CA-01</x:v>
      </x:c>
      <x:c r="B218" s="5" t="str">
        <x:v>OPT-TRUSTED-CA</x:v>
      </x:c>
      <x:c r="C218" s="5" t="str">
        <x:v>TLS1.2 Trusted-CA extension</x:v>
      </x:c>
      <x:c r="D218" s="5" t="str">
        <x:v>Support trusted_ca_keys when needed for multi-domain certificate selection</x:v>
      </x:c>
      <x:c r="E218" s="5" t="str">
        <x:v>Recommendation / optional</x:v>
      </x:c>
      <x:c r="F218" s="5" t="str">
        <x:v>Product/profile selection; do not count as unconditional mandatory</x:v>
      </x:c>
      <x:c r="G218" s="5" t="str"/>
      <x:c r="H218" s="5" t="str">
        <x:v>7.5.3</x:v>
      </x:c>
      <x:c r="I218" s="5" t="str">
        <x:v>35</x:v>
      </x:c>
      <x:c r="J218" s="5" t="str">
        <x:v>27</x:v>
      </x:c>
      <x:c r="K218" s="5" t="str">
        <x:v>Architecture/CCI_Runtime_Dataflow_Architecture.md; Architecture/Software_Architecture.md; knowledge-base/08-engineering/CCI_62443_Zones.md</x:v>
      </x:c>
      <x:c r="L218" s="5" t="str">
        <x:v>HiTEKS architect</x:v>
      </x:c>
      <x:c r="M218" s="5" t="str">
        <x:v>Not demonstrated</x:v>
      </x:c>
      <x:c r="N218" s="5" t="str">
        <x:v>Not demonstrated</x:v>
      </x:c>
      <x:c r="O218" s="5" t="str">
        <x:v>Approved design/traceability review; exercise the relevant trust boundary and record residual risks. Verify: Support trusted_ca_keys when needed for multi-domain certificate selection.</x:v>
      </x:c>
      <x:c r="P218" s="10" t="str"/>
      <x:c r="Q218" s="10" t="str">
        <x:v>Open</x:v>
      </x:c>
      <x:c r="R218" s="10" t="str"/>
      <x:c r="S218" s="10" t="str"/>
      <x:c r="T218" s="10" t="str"/>
      <x:c r="U218" s="5" t="str">
        <x:f>IF(Q218="Closed",IF(AND(R218&lt;&gt;"",S218&lt;&gt;""),"Closed recorded","Missing evidence/reviewer"),IF(Q218="N/A approved",IF(AND(T218&lt;&gt;"",S218&lt;&gt;""),"N/A recorded","Missing applicability approval"),"Open"))</x:f>
        <x:v>Open</x:v>
      </x:c>
      <x:c r="V218" s="5" t="str">
        <x:v>Normativa/EN IEC 62351-3-2023.pdf</x:v>
      </x:c>
      <x:c r="W218" s="5" t="str"/>
    </x:row>
    <x:row r="219" ht="36" customHeight="1">
      <x:c r="A219" s="5" t="str">
        <x:v>TLS-OPT-SNI12-01</x:v>
      </x:c>
      <x:c r="B219" s="5" t="str">
        <x:v>OPT-SNI12</x:v>
      </x:c>
      <x:c r="C219" s="5" t="str">
        <x:v>TLS1.2 SNI</x:v>
      </x:c>
      <x:c r="D219" s="5" t="str">
        <x:v>Support server_name extension per RFC6066 if selected</x:v>
      </x:c>
      <x:c r="E219" s="5" t="str">
        <x:v>Recommendation / optional</x:v>
      </x:c>
      <x:c r="F219" s="5" t="str">
        <x:v>Product/profile selection; do not count as unconditional mandatory</x:v>
      </x:c>
      <x:c r="G219" s="5" t="str"/>
      <x:c r="H219" s="5" t="str">
        <x:v>7.5.6</x:v>
      </x:c>
      <x:c r="I219" s="5" t="str">
        <x:v>37</x:v>
      </x:c>
      <x:c r="J219" s="5" t="str">
        <x:v>29</x:v>
      </x:c>
      <x:c r="K219" s="5" t="str">
        <x:v>Architecture/CCI_Runtime_Dataflow_Architecture.md; Architecture/Software_Architecture.md; knowledge-base/08-engineering/CCI_62443_Zones.md</x:v>
      </x:c>
      <x:c r="L219" s="5" t="str">
        <x:v>HiTEKS architect</x:v>
      </x:c>
      <x:c r="M219" s="5" t="str">
        <x:v>Not demonstrated</x:v>
      </x:c>
      <x:c r="N219" s="5" t="str">
        <x:v>Not demonstrated</x:v>
      </x:c>
      <x:c r="O219" s="5" t="str">
        <x:v>Approved design/traceability review; exercise the relevant trust boundary and record residual risks. Verify: Support server_name extension per RFC6066 if selected.</x:v>
      </x:c>
      <x:c r="P219" s="10" t="str"/>
      <x:c r="Q219" s="10" t="str">
        <x:v>Open</x:v>
      </x:c>
      <x:c r="R219" s="10" t="str"/>
      <x:c r="S219" s="10" t="str"/>
      <x:c r="T219" s="10" t="str"/>
      <x:c r="U219" s="5" t="str">
        <x:f>IF(Q219="Closed",IF(AND(R219&lt;&gt;"",S219&lt;&gt;""),"Closed recorded","Missing evidence/reviewer"),IF(Q219="N/A approved",IF(AND(T219&lt;&gt;"",S219&lt;&gt;""),"N/A recorded","Missing applicability approval"),"Open"))</x:f>
        <x:v>Open</x:v>
      </x:c>
      <x:c r="V219" s="5" t="str">
        <x:v>Normativa/EN IEC 62351-3-2023.pdf</x:v>
      </x:c>
      <x:c r="W219" s="5" t="str"/>
    </x:row>
    <x:row r="220" ht="36" customHeight="1">
      <x:c r="A220" s="5" t="str">
        <x:v>TLS-OPT-COOKIE13-01</x:v>
      </x:c>
      <x:c r="B220" s="5" t="str">
        <x:v>OPT-COOKIE13</x:v>
      </x:c>
      <x:c r="C220" s="5" t="str">
        <x:v>TLS1.3 cookie</x:v>
      </x:c>
      <x:c r="D220" s="5" t="str">
        <x:v>Cookie extension is not mandatory in this application profile</x:v>
      </x:c>
      <x:c r="E220" s="5" t="str">
        <x:v>Recommendation / optional</x:v>
      </x:c>
      <x:c r="F220" s="5" t="str">
        <x:v>Product/profile selection; do not count as unconditional mandatory</x:v>
      </x:c>
      <x:c r="G220" s="5" t="str"/>
      <x:c r="H220" s="5" t="str">
        <x:v>8.8.3</x:v>
      </x:c>
      <x:c r="I220" s="5" t="str">
        <x:v>43</x:v>
      </x:c>
      <x:c r="J220" s="5" t="str">
        <x:v>35</x:v>
      </x:c>
      <x:c r="K220" s="5" t="str">
        <x:v>Architecture/CCI_Runtime_Dataflow_Architecture.md; Architecture/Software_Architecture.md; knowledge-base/08-engineering/CCI_62443_Zones.md</x:v>
      </x:c>
      <x:c r="L220" s="5" t="str">
        <x:v>HiTEKS architect</x:v>
      </x:c>
      <x:c r="M220" s="5" t="str">
        <x:v>Not demonstrated</x:v>
      </x:c>
      <x:c r="N220" s="5" t="str">
        <x:v>Not demonstrated</x:v>
      </x:c>
      <x:c r="O220" s="5" t="str">
        <x:v>Approved design/traceability review; exercise the relevant trust boundary and record residual risks. Verify: Cookie extension is not mandatory in this application profile.</x:v>
      </x:c>
      <x:c r="P220" s="10" t="str"/>
      <x:c r="Q220" s="10" t="str">
        <x:v>Open</x:v>
      </x:c>
      <x:c r="R220" s="10" t="str"/>
      <x:c r="S220" s="10" t="str"/>
      <x:c r="T220" s="10" t="str"/>
      <x:c r="U220" s="5" t="str">
        <x:f>IF(Q220="Closed",IF(AND(R220&lt;&gt;"",S220&lt;&gt;""),"Closed recorded","Missing evidence/reviewer"),IF(Q220="N/A approved",IF(AND(T220&lt;&gt;"",S220&lt;&gt;""),"N/A recorded","Missing applicability approval"),"Open"))</x:f>
        <x:v>Open</x:v>
      </x:c>
      <x:c r="V220" s="5" t="str">
        <x:v>Normativa/EN IEC 62351-3-2023.pdf</x:v>
      </x:c>
      <x:c r="W220" s="5" t="str"/>
    </x:row>
    <x:row r="221" ht="36" customHeight="1">
      <x:c r="A221" s="5" t="str">
        <x:v>TLS-OPT-SNI13-01</x:v>
      </x:c>
      <x:c r="B221" s="5" t="str">
        <x:v>OPT-SNI13</x:v>
      </x:c>
      <x:c r="C221" s="5" t="str">
        <x:v>TLS1.3 SNI</x:v>
      </x:c>
      <x:c r="D221" s="5" t="str">
        <x:v>Support server_name extension per RFC6066 if selected</x:v>
      </x:c>
      <x:c r="E221" s="5" t="str">
        <x:v>Recommendation / optional</x:v>
      </x:c>
      <x:c r="F221" s="5" t="str">
        <x:v>Product/profile selection; do not count as unconditional mandatory</x:v>
      </x:c>
      <x:c r="G221" s="5" t="str"/>
      <x:c r="H221" s="5" t="str">
        <x:v>8.8.7</x:v>
      </x:c>
      <x:c r="I221" s="5" t="str">
        <x:v>44</x:v>
      </x:c>
      <x:c r="J221" s="5" t="str">
        <x:v>36</x:v>
      </x:c>
      <x:c r="K221" s="5" t="str">
        <x:v>Architecture/CCI_Runtime_Dataflow_Architecture.md; Architecture/Software_Architecture.md; knowledge-base/08-engineering/CCI_62443_Zones.md</x:v>
      </x:c>
      <x:c r="L221" s="5" t="str">
        <x:v>HiTEKS architect</x:v>
      </x:c>
      <x:c r="M221" s="5" t="str">
        <x:v>Not demonstrated</x:v>
      </x:c>
      <x:c r="N221" s="5" t="str">
        <x:v>Not demonstrated</x:v>
      </x:c>
      <x:c r="O221" s="5" t="str">
        <x:v>Approved design/traceability review; exercise the relevant trust boundary and record residual risks. Verify: Support server_name extension per RFC6066 if selected.</x:v>
      </x:c>
      <x:c r="P221" s="10" t="str"/>
      <x:c r="Q221" s="10" t="str">
        <x:v>Open</x:v>
      </x:c>
      <x:c r="R221" s="10" t="str"/>
      <x:c r="S221" s="10" t="str"/>
      <x:c r="T221" s="10" t="str"/>
      <x:c r="U221" s="5" t="str">
        <x:f>IF(Q221="Closed",IF(AND(R221&lt;&gt;"",S221&lt;&gt;""),"Closed recorded","Missing evidence/reviewer"),IF(Q221="N/A approved",IF(AND(T221&lt;&gt;"",S221&lt;&gt;""),"N/A recorded","Missing applicability approval"),"Open"))</x:f>
        <x:v>Open</x:v>
      </x:c>
      <x:c r="V221" s="5" t="str">
        <x:v>Normativa/EN IEC 62351-3-2023.pdf</x:v>
      </x:c>
      <x:c r="W221" s="5" t="str"/>
    </x:row>
    <x:row r="222" ht="36" customHeight="1">
      <x:c r="A222" s="5" t="str">
        <x:v>TLS-OPT-CA13-01</x:v>
      </x:c>
      <x:c r="B222" s="5" t="str">
        <x:v>OPT-CA13</x:v>
      </x:c>
      <x:c r="C222" s="5" t="str">
        <x:v>TLS1.3 CA indication</x:v>
      </x:c>
      <x:c r="D222" s="5" t="str">
        <x:v>Support certificate_authorities extension if selected</x:v>
      </x:c>
      <x:c r="E222" s="5" t="str">
        <x:v>Recommendation / optional</x:v>
      </x:c>
      <x:c r="F222" s="5" t="str">
        <x:v>Product/profile selection; do not count as unconditional mandatory</x:v>
      </x:c>
      <x:c r="G222" s="5" t="str"/>
      <x:c r="H222" s="5" t="str">
        <x:v>8.8.8</x:v>
      </x:c>
      <x:c r="I222" s="5" t="str">
        <x:v>45</x:v>
      </x:c>
      <x:c r="J222" s="5" t="str">
        <x:v>37</x:v>
      </x:c>
      <x:c r="K222" s="5" t="str">
        <x:v>Architecture/CCI_Runtime_Dataflow_Architecture.md; Architecture/Software_Architecture.md; knowledge-base/08-engineering/CCI_62443_Zones.md</x:v>
      </x:c>
      <x:c r="L222" s="5" t="str">
        <x:v>HiTEKS architect</x:v>
      </x:c>
      <x:c r="M222" s="5" t="str">
        <x:v>Not demonstrated</x:v>
      </x:c>
      <x:c r="N222" s="5" t="str">
        <x:v>Not demonstrated</x:v>
      </x:c>
      <x:c r="O222" s="5" t="str">
        <x:v>Approved design/traceability review; exercise the relevant trust boundary and record residual risks. Verify: Support certificate_authorities extension if selected.</x:v>
      </x:c>
      <x:c r="P222" s="10" t="str"/>
      <x:c r="Q222" s="10" t="str">
        <x:v>Open</x:v>
      </x:c>
      <x:c r="R222" s="10" t="str"/>
      <x:c r="S222" s="10" t="str"/>
      <x:c r="T222" s="10" t="str"/>
      <x:c r="U222" s="5" t="str">
        <x:f>IF(Q222="Closed",IF(AND(R222&lt;&gt;"",S222&lt;&gt;""),"Closed recorded","Missing evidence/reviewer"),IF(Q222="N/A approved",IF(AND(T222&lt;&gt;"",S222&lt;&gt;""),"N/A recorded","Missing applicability approval"),"Open"))</x:f>
        <x:v>Open</x:v>
      </x:c>
      <x:c r="V222" s="5" t="str">
        <x:v>Normativa/EN IEC 62351-3-2023.pdf</x:v>
      </x:c>
      <x:c r="W222" s="5" t="str"/>
    </x:row>
    <x:row r="223" ht="47" customHeight="1">
      <x:c r="A223" s="5" t="str">
        <x:v>TLS-OPT-TIMER-DEFAULTS-01</x:v>
      </x:c>
      <x:c r="B223" s="5" t="str">
        <x:v>OPT-TIMER-DEFAULTS</x:v>
      </x:c>
      <x:c r="C223" s="5" t="str">
        <x:v>Recommended timer defaults</x:v>
      </x:c>
      <x:c r="D223" s="5" t="str">
        <x:v>Six-hour resumption/key-update and12-hour renegotiation defaults are should recommendations; mandatory configuration/upper limits are separate tasks</x:v>
      </x:c>
      <x:c r="E223" s="5" t="str">
        <x:v>Recommendation / optional</x:v>
      </x:c>
      <x:c r="F223" s="5" t="str">
        <x:v>Product/profile selection; do not count as unconditional mandatory</x:v>
      </x:c>
      <x:c r="G223" s="5" t="str"/>
      <x:c r="H223" s="5" t="str">
        <x:v>7.4.4;7.4.5;8.4</x:v>
      </x:c>
      <x:c r="I223" s="5" t="str">
        <x:v>32-33,41</x:v>
      </x:c>
      <x:c r="J223" s="5" t="str">
        <x:v>24,25,33</x:v>
      </x:c>
      <x:c r="K223" s="5" t="str">
        <x:v>Architecture/CCI_Runtime_Dataflow_Architecture.md; Architecture/Software_Architecture.md; knowledge-base/08-engineering/CCI_62443_Zones.md</x:v>
      </x:c>
      <x:c r="L223" s="5" t="str">
        <x:v>HiTEKS architect</x:v>
      </x:c>
      <x:c r="M223" s="5" t="str">
        <x:v>Not demonstrated</x:v>
      </x:c>
      <x:c r="N223" s="5" t="str">
        <x:v>Not demonstrated</x:v>
      </x:c>
      <x:c r="O223" s="5" t="str">
        <x:v>Approved design/traceability review; exercise the relevant trust boundary and record residual risks. Verify: Six-hour resumption/key-update and12-hour renegotiation defaults are should recommendations; mandatory configuration/upper limits are separate tasks.</x:v>
      </x:c>
      <x:c r="P223" s="10" t="str"/>
      <x:c r="Q223" s="10" t="str">
        <x:v>Open</x:v>
      </x:c>
      <x:c r="R223" s="10" t="str"/>
      <x:c r="S223" s="10" t="str"/>
      <x:c r="T223" s="10" t="str"/>
      <x:c r="U223" s="5" t="str">
        <x:f>IF(Q223="Closed",IF(AND(R223&lt;&gt;"",S223&lt;&gt;""),"Closed recorded","Missing evidence/reviewer"),IF(Q223="N/A approved",IF(AND(T223&lt;&gt;"",S223&lt;&gt;""),"N/A recorded","Missing applicability approval"),"Open"))</x:f>
        <x:v>Open</x:v>
      </x:c>
      <x:c r="V223" s="5" t="str">
        <x:v>Normativa/EN IEC 62351-3-2023.pdf</x:v>
      </x:c>
      <x:c r="W223" s="5" t="str"/>
    </x:row>
    <x:row r="224" ht="47" customHeight="1">
      <x:c r="A224" s="5" t="str">
        <x:v>TLS-OPT-CRL-REFRESH-01</x:v>
      </x:c>
      <x:c r="B224" s="5" t="str">
        <x:v>OPT-CRL-REFRESH</x:v>
      </x:c>
      <x:c r="C224" s="5" t="str">
        <x:v>CRL retrieval schedule</x:v>
      </x:c>
      <x:c r="D224" s="5" t="str">
        <x:v>Recommended CRL refresh is24 hours or nextUpdate if earlier; Table8's at-least-daily evaluation requirement remains mandatory</x:v>
      </x:c>
      <x:c r="E224" s="5" t="str">
        <x:v>Recommendation / optional</x:v>
      </x:c>
      <x:c r="F224" s="5" t="str">
        <x:v>Product/profile selection; do not count as unconditional mandatory</x:v>
      </x:c>
      <x:c r="G224" s="5" t="str"/>
      <x:c r="H224" s="5" t="str">
        <x:v>6.4.4.4.2</x:v>
      </x:c>
      <x:c r="I224" s="5" t="str">
        <x:v>27</x:v>
      </x:c>
      <x:c r="J224" s="5" t="str">
        <x:v>19</x:v>
      </x:c>
      <x:c r="K224" s="5" t="str">
        <x:v>Architecture/CCI_Runtime_Dataflow_Architecture.md; Architecture/Software_Architecture.md; knowledge-base/08-engineering/CCI_62443_Zones.md</x:v>
      </x:c>
      <x:c r="L224" s="5" t="str">
        <x:v>HiTEKS architect</x:v>
      </x:c>
      <x:c r="M224" s="5" t="str">
        <x:v>Not demonstrated</x:v>
      </x:c>
      <x:c r="N224" s="5" t="str">
        <x:v>Not demonstrated</x:v>
      </x:c>
      <x:c r="O224" s="5" t="str">
        <x:v>Approved design/traceability review; exercise the relevant trust boundary and record residual risks. Verify: Recommended CRL refresh is24 hours or nextUpdate if earlier; Table8's at-least-daily evaluation requirement remains mandatory.</x:v>
      </x:c>
      <x:c r="P224" s="10" t="str"/>
      <x:c r="Q224" s="10" t="str">
        <x:v>Open</x:v>
      </x:c>
      <x:c r="R224" s="10" t="str"/>
      <x:c r="S224" s="10" t="str"/>
      <x:c r="T224" s="10" t="str"/>
      <x:c r="U224" s="5" t="str">
        <x:f>IF(Q224="Closed",IF(AND(R224&lt;&gt;"",S224&lt;&gt;""),"Closed recorded","Missing evidence/reviewer"),IF(Q224="N/A approved",IF(AND(T224&lt;&gt;"",S224&lt;&gt;""),"N/A recorded","Missing applicability approval"),"Open"))</x:f>
        <x:v>Open</x:v>
      </x:c>
      <x:c r="V224" s="5" t="str">
        <x:v>Normativa/EN IEC 62351-3-2023.pdf</x:v>
      </x:c>
      <x:c r="W224" s="5" t="str"/>
    </x:row>
    <x:row r="225" ht="47" customHeight="1">
      <x:c r="A225" s="5" t="str">
        <x:v>TLS-OPT-EVENT-EXPORT-01</x:v>
      </x:c>
      <x:c r="B225" s="5" t="str">
        <x:v>OPT-EVENT-EXPORT</x:v>
      </x:c>
      <x:c r="C225" s="5" t="str">
        <x:v>Security-event export</x:v>
      </x:c>
      <x:c r="D225" s="5" t="str">
        <x:v>Publishing events using IEC62351-14 or62351-7 is recommended; raising each required event remains mandatory</x:v>
      </x:c>
      <x:c r="E225" s="5" t="str">
        <x:v>Recommendation / optional</x:v>
      </x:c>
      <x:c r="F225" s="5" t="str">
        <x:v>Product/profile selection; do not count as unconditional mandatory</x:v>
      </x:c>
      <x:c r="G225" s="5" t="str"/>
      <x:c r="H225" s="5" t="str">
        <x:v>4.4</x:v>
      </x:c>
      <x:c r="I225" s="5" t="str">
        <x:v>20</x:v>
      </x:c>
      <x:c r="J225" s="5" t="str">
        <x:v>12</x:v>
      </x:c>
      <x:c r="K225" s="5" t="str">
        <x:v>Architecture/CCI_Runtime_Dataflow_Architecture.md; Architecture/Software_Architecture.md; knowledge-base/08-engineering/CCI_62443_Zones.md</x:v>
      </x:c>
      <x:c r="L225" s="5" t="str">
        <x:v>HiTEKS architect</x:v>
      </x:c>
      <x:c r="M225" s="5" t="str">
        <x:v>Not demonstrated</x:v>
      </x:c>
      <x:c r="N225" s="5" t="str">
        <x:v>Not demonstrated</x:v>
      </x:c>
      <x:c r="O225" s="5" t="str">
        <x:v>Approved design/traceability review; exercise the relevant trust boundary and record residual risks. Verify: Publishing events using IEC62351-14 or62351-7 is recommended; raising each required event remains mandatory.</x:v>
      </x:c>
      <x:c r="P225" s="10" t="str"/>
      <x:c r="Q225" s="10" t="str">
        <x:v>Open</x:v>
      </x:c>
      <x:c r="R225" s="10" t="str"/>
      <x:c r="S225" s="10" t="str"/>
      <x:c r="T225" s="10" t="str"/>
      <x:c r="U225" s="5" t="str">
        <x:f>IF(Q225="Closed",IF(AND(R225&lt;&gt;"",S225&lt;&gt;""),"Closed recorded","Missing evidence/reviewer"),IF(Q225="N/A approved",IF(AND(T225&lt;&gt;"",S225&lt;&gt;""),"N/A recorded","Missing applicability approval"),"Open"))</x:f>
        <x:v>Open</x:v>
      </x:c>
      <x:c r="V225" s="5" t="str">
        <x:v>Normativa/EN IEC 62351-3-2023.pdf</x:v>
      </x:c>
      <x:c r="W225" s="5" t="str"/>
    </x:row>
  </x:sheetData>
  <x:conditionalFormatting sqref="U7:U225">
    <x:cfRule type="containsText" dxfId="4" priority="1" operator="containsText" text="Missing"/>
  </x:conditionalFormatting>
  <x:conditionalFormatting sqref="Q7:Q225">
    <x:cfRule type="containsText" dxfId="5" priority="2" operator="containsText" text="review"/>
  </x:conditionalFormatting>
  <x:dataValidations count="1">
    <x:dataValidation type="list" sqref="Q7:Q225">
      <x:formula1>"Open,In progress,Ready for review,Closed,N/A requested,N/A 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40181566304b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00" hidden="0" customWidth="1"/>
    <x:col min="4" max="4" width="40" hidden="0" customWidth="1"/>
    <x:col min="5" max="5" width="30" hidden="0" customWidth="1"/>
    <x:col min="6" max="6" width="80" hidden="0" customWidth="1"/>
  </x:cols>
  <x:sheetData>
    <x:row r="2">
      <x:c r="A2" s="1" t="str">
        <x:v>Scope and interpretation decisions</x:v>
      </x:c>
    </x:row>
    <x:row r="4">
      <x:c r="A4" s="2" t="str">
        <x:v>Resolve and record these decisions without deleting affected implementation tasks.</x:v>
      </x:c>
    </x:row>
    <x:row r="6" ht="34" customHeight="1">
      <x:c r="A6" s="9" t="str">
        <x:v>Decision ID</x:v>
      </x:c>
      <x:c r="B6" s="9" t="str">
        <x:v>Topic</x:v>
      </x:c>
      <x:c r="C6" s="9" t="str">
        <x:v>Decision / dependency</x:v>
      </x:c>
      <x:c r="D6" s="9" t="str">
        <x:v>Responsible role</x:v>
      </x:c>
      <x:c r="E6" s="9" t="str">
        <x:v>State</x:v>
      </x:c>
      <x:c r="F6" s="9" t="str">
        <x:v>Approved decision / evidence</x:v>
      </x:c>
    </x:row>
    <x:row r="7" ht="68" customHeight="1">
      <x:c r="A7" s="5" t="str">
        <x:v>SCOPE-01</x:v>
      </x:c>
      <x:c r="B7" s="5" t="str">
        <x:v>Product boundary</x:v>
      </x:c>
      <x:c r="C7" s="5" t="str">
        <x:v>Confirm application SAR scope and finished-controller EDR scope; determine NDR and HDR separately.</x:v>
      </x:c>
      <x:c r="D7" s="5" t="str">
        <x:v>HiTEKS architect + lab</x:v>
      </x:c>
      <x:c r="E7" s="10" t="str">
        <x:v>Open</x:v>
      </x:c>
      <x:c r="F7" s="10" t="str"/>
    </x:row>
    <x:row r="8" ht="68" customHeight="1">
      <x:c r="A8" s="5" t="str">
        <x:v>SCOPE-02</x:v>
      </x:c>
      <x:c r="B8" s="5" t="str">
        <x:v>SL-C vector</x:v>
      </x:c>
      <x:c r="C8" s="5" t="str">
        <x:v>Proposed SL2 in earlier records is unapproved. All SL1-4 base requirements/enhancements are inventoried; decide each FR claim.</x:v>
      </x:c>
      <x:c r="D8" s="5" t="str">
        <x:v>HiTEKS security lead + customer/lab</x:v>
      </x:c>
      <x:c r="E8" s="10" t="str">
        <x:v>Open</x:v>
      </x:c>
      <x:c r="F8" s="10" t="str"/>
    </x:row>
    <x:row r="9" ht="68" customHeight="1">
      <x:c r="A9" s="5" t="str">
        <x:v>SCOPE-03</x:v>
      </x:c>
      <x:c r="B9" s="5" t="str">
        <x:v>TLS versions and endpoint roles</x:v>
      </x:c>
      <x:c r="C9" s="5" t="str">
        <x:v>TLS1.2 is mandatory. TLS1.3 is optional overall. Keep TLS1.3 obligations in the plan if selected. Confirm server/client claims for MMS/104.</x:v>
      </x:c>
      <x:c r="D9" s="5" t="str">
        <x:v>HiTEKS security/protocol lead</x:v>
      </x:c>
      <x:c r="E9" s="10" t="str">
        <x:v>Open</x:v>
      </x:c>
      <x:c r="F9" s="10" t="str"/>
    </x:row>
    <x:row r="10" ht="68" customHeight="1">
      <x:c r="A10" s="5" t="str">
        <x:v>SCOPE-04</x:v>
      </x:c>
      <x:c r="B10" s="5" t="str">
        <x:v>Feature conditions</x:v>
      </x:c>
      <x:c r="C10" s="5" t="str">
        <x:v>Decide mobile code, wireless, passwords, symmetric authentication and optional extensions. N/A requires documented justification and approval.</x:v>
      </x:c>
      <x:c r="D10" s="5" t="str">
        <x:v>Architect + security reviewer</x:v>
      </x:c>
      <x:c r="E10" s="10" t="str">
        <x:v>Open</x:v>
      </x:c>
      <x:c r="F10" s="10" t="str"/>
    </x:row>
    <x:row r="11" ht="68" customHeight="1">
      <x:c r="A11" s="5" t="str">
        <x:v>SOURCE-01</x:v>
      </x:c>
      <x:c r="B11" s="5" t="str">
        <x:v>Missing English scan pages</x:v>
      </x:c>
      <x:c r="C11" s="5" t="str">
        <x:v>English PDF38-39 of4-1 are blank. SVV-3/4/5 and independence Table3 recovered from French PDF94-96 in the same supplied file.</x:v>
      </x:c>
      <x:c r="D11" s="5" t="str">
        <x:v>Security reviewer</x:v>
      </x:c>
      <x:c r="E11" s="10" t="str">
        <x:v>Recovered from French</x:v>
      </x:c>
      <x:c r="F11" s="10" t="str"/>
    </x:row>
    <x:row r="12" ht="68" customHeight="1">
      <x:c r="A12" s="5" t="str">
        <x:v>SOURCE-02</x:v>
      </x:c>
      <x:c r="B12" s="5" t="str">
        <x:v>OCSP editorial inconsistency</x:v>
      </x:c>
      <x:c r="C12" s="5" t="str">
        <x:v>7.5.5.2 names status_request_v2 with RFC6066. Table12 identifies RFC6066 status_request mandatory and RFC6961/v2 optional. Implement status_request; resolve wording with lab.</x:v>
      </x:c>
      <x:c r="D12" s="5" t="str">
        <x:v>Protocol lead + lab</x:v>
      </x:c>
      <x:c r="E12" s="10" t="str">
        <x:v>Open</x:v>
      </x:c>
      <x:c r="F12" s="10" t="str"/>
    </x:row>
    <x:row r="13" ht="68" customHeight="1">
      <x:c r="A13" s="5" t="str">
        <x:v>SOURCE-03</x:v>
      </x:c>
      <x:c r="B13" s="5" t="str">
        <x:v>TLS1.2 suite identifier discrepancy</x:v>
      </x:c>
      <x:c r="C13" s="5" t="str">
        <x:v>Table1 pairs DHE_RSA_AES256_GCM_SHA384 with0x00A1, but IANA/RFC5288 specify0x009F. Named suite retained with IANA identifier and discrepancy recorded.</x:v>
      </x:c>
      <x:c r="D13" s="5" t="str">
        <x:v>Protocol lead + lab</x:v>
      </x:c>
      <x:c r="E13" s="10" t="str">
        <x:v>Open</x:v>
      </x:c>
      <x:c r="F13" s="10" t="str"/>
    </x:row>
    <x:row r="14" ht="68" customHeight="1">
      <x:c r="A14" s="5" t="str">
        <x:v>COVERAGE-01</x:v>
      </x:c>
      <x:c r="B14" s="5" t="str">
        <x:v>References and no-requirement placeholders</x:v>
      </x:c>
      <x:c r="C14" s="5" t="str">
        <x:v>CR1.6/1.13/2.4/2.13/3.2/3.10-3.14/5.2/5.3 redirect to type-specific clauses. CR2.3/5.4/7.5 explicitly have no component-level requirement. AnnexesA/B are informative navigational summaries, not additional unconditional obligations.</x:v>
      </x:c>
      <x:c r="D14" s="5" t="str">
        <x:v>Security reviewer</x:v>
      </x:c>
      <x:c r="E14" s="10" t="str">
        <x:v>Mapped</x:v>
      </x:c>
      <x:c r="F14" s="10" t="str"/>
    </x:row>
    <x:row r="15" ht="68" customHeight="1">
      <x:c r="A15" s="5" t="str">
        <x:v>DEP-01</x:v>
      </x:c>
      <x:c r="B15" s="5" t="str">
        <x:v>Normative references</x:v>
      </x:c>
      <x:c r="C15" s="5" t="str">
        <x:v>Referenced requirements are dependencies, not new entire standards added to scope. Expand applicable RFC5246/8446/5280/5746/6066/7366, IEC62351-9, ISO9594-8 and IEC62443-3-3 obligations before implementation signoff.</x:v>
      </x:c>
      <x:c r="D15" s="5" t="str">
        <x:v>Security architect</x:v>
      </x:c>
      <x:c r="E15" s="10" t="str">
        <x:v>Open</x:v>
      </x:c>
      <x:c r="F15" s="10" t="str"/>
    </x:row>
    <x:row r="16" ht="68" customHeight="1">
      <x:c r="A16" s="5" t="str">
        <x:v>BASELINE-01</x:v>
      </x:c>
      <x:c r="B16" s="5" t="str">
        <x:v>Repository baseline</x:v>
      </x:c>
      <x:c r="C16" s="5" t="str">
        <x:v>Local working tree differs from GitHub main e6d6ce0729e5604388452583a1751205ba0e11ee. Choose one frozen release; local security additions are absent upstream.</x:v>
      </x:c>
      <x:c r="D16" s="5" t="str">
        <x:v>Release lead</x:v>
      </x:c>
      <x:c r="E16" s="10" t="str">
        <x:v>Open</x:v>
      </x:c>
      <x:c r="F16" s="10" t="str"/>
    </x:row>
    <x:row r="17" ht="68" customHeight="1">
      <x:c r="A17" s="5" t="str">
        <x:v>KEYS-01</x:v>
      </x:c>
      <x:c r="B17" s="5" t="str">
        <x:v>GitHub credential exposure</x:v>
      </x:c>
      <x:c r="C17" s="5" t="str">
        <x:v>Resolve tracked private TLS/CA keys and TLS-directory packaging before release; preserve private material confidentiality.</x:v>
      </x:c>
      <x:c r="D17" s="5" t="str">
        <x:v>Security + repository owner</x:v>
      </x:c>
      <x:c r="E17" s="10" t="str">
        <x:v>Open</x:v>
      </x:c>
      <x:c r="F17" s="10" t="str"/>
    </x:row>
    <x:row r="18" ht="68" customHeight="1">
      <x:c r="A18" s="5" t="str">
        <x:v>VERIFY-01</x:v>
      </x:c>
      <x:c r="B18" s="5" t="str">
        <x:v>Acceptance</x:v>
      </x:c>
      <x:c r="C18" s="5" t="str">
        <x:v>No row is closed by code presence alone. Attach exact-build tests or approved process records and independent review where required.</x:v>
      </x:c>
      <x:c r="D18" s="5" t="str">
        <x:v>QA/security lead</x:v>
      </x:c>
      <x:c r="E18" s="10" t="str">
        <x:v>Open</x:v>
      </x:c>
      <x:c r="F18" s="10" t="str"/>
    </x:row>
  </x:sheetData>
  <x:pageMargins left="0.7" right="0.7" top="0.75" bottom="0.75" header="0.3" footer="0.3"/>
  <x:tableParts count="1">
    <x:tablePart xmlns:r="http://schemas.openxmlformats.org/officeDocument/2006/relationships" r:id="R9b6cc12d0a57411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10" hidden="0" customWidth="1"/>
    <x:col min="5" max="5" width="22" hidden="0" customWidth="1"/>
    <x:col min="6" max="6" width="70" hidden="0" customWidth="1"/>
    <x:col min="7" max="7" width="70" hidden="0" customWidth="1"/>
  </x:cols>
  <x:sheetData>
    <x:row r="2">
      <x:c r="A2" s="1" t="str">
        <x:v>Source-page coverage</x:v>
      </x:c>
    </x:row>
    <x:row r="4">
      <x:c r="A4" s="2" t="str">
        <x:v>Every normative body page is indexed. Informative annexes summarize or map requirements and are not counted again.</x:v>
      </x:c>
    </x:row>
    <x:row r="6" ht="34" customHeight="1">
      <x:c r="A6" s="9" t="str">
        <x:v>Standard</x:v>
      </x:c>
      <x:c r="B6" s="9" t="str">
        <x:v>PDF page</x:v>
      </x:c>
      <x:c r="C6" s="9" t="str">
        <x:v>Printed page</x:v>
      </x:c>
      <x:c r="D6" s="9" t="str">
        <x:v>Mapped requirement families</x:v>
      </x:c>
      <x:c r="E6" s="9" t="str">
        <x:v>Modal words detected</x:v>
      </x:c>
      <x:c r="F6" s="9" t="str">
        <x:v>Extraction / recovery</x:v>
      </x:c>
      <x:c r="G6" s="9" t="str">
        <x:v>Source file</x:v>
      </x:c>
    </x:row>
    <x:row r="7" ht="38" customHeight="1">
      <x:c r="A7" s="5" t="str">
        <x:v>41</x:v>
      </x:c>
      <x:c r="B7" s="5" t="n">
        <x:v>21</x:v>
      </x:c>
      <x:c r="C7" s="5" t="n">
        <x:v>19</x:v>
      </x:c>
      <x:c r="D7" s="5" t="str">
        <x:v>SDL-SM-5</x:v>
      </x:c>
      <x:c r="E7" s="5" t="n">
        <x:v>1</x:v>
      </x:c>
      <x:c r="F7" s="5" t="str">
        <x:v>OCR extracted; requirement/table mapping reviewed</x:v>
      </x:c>
      <x:c r="G7" s="5" t="str">
        <x:v>Normativa/IEC 62443-4-1 2018.pdf</x:v>
      </x:c>
    </x:row>
    <x:row r="8" ht="38" customHeight="1">
      <x:c r="A8" s="5" t="str">
        <x:v>41</x:v>
      </x:c>
      <x:c r="B8" s="5" t="n">
        <x:v>22</x:v>
      </x:c>
      <x:c r="C8" s="5" t="n">
        <x:v>20</x:v>
      </x:c>
      <x:c r="D8" s="5" t="str"/>
      <x:c r="E8" s="5" t="n">
        <x:v>0</x:v>
      </x:c>
      <x:c r="F8" s="5" t="str">
        <x:v>OCR extracted; requirement/table mapping reviewed</x:v>
      </x:c>
      <x:c r="G8" s="5" t="str">
        <x:v>Normativa/IEC 62443-4-1 2018.pdf</x:v>
      </x:c>
    </x:row>
    <x:row r="9" ht="38" customHeight="1">
      <x:c r="A9" s="5" t="str">
        <x:v>41</x:v>
      </x:c>
      <x:c r="B9" s="5" t="n">
        <x:v>23</x:v>
      </x:c>
      <x:c r="C9" s="5" t="n">
        <x:v>21</x:v>
      </x:c>
      <x:c r="D9" s="5" t="str">
        <x:v>SDL-SM-1; SDL-SM-2; SDL-SM-3</x:v>
      </x:c>
      <x:c r="E9" s="5" t="n">
        <x:v>3</x:v>
      </x:c>
      <x:c r="F9" s="5" t="str">
        <x:v>OCR extracted; requirement/table mapping reviewed</x:v>
      </x:c>
      <x:c r="G9" s="5" t="str">
        <x:v>Normativa/IEC 62443-4-1 2018.pdf</x:v>
      </x:c>
    </x:row>
    <x:row r="10" ht="38" customHeight="1">
      <x:c r="A10" s="5" t="str">
        <x:v>41</x:v>
      </x:c>
      <x:c r="B10" s="5" t="n">
        <x:v>24</x:v>
      </x:c>
      <x:c r="C10" s="5" t="n">
        <x:v>22</x:v>
      </x:c>
      <x:c r="D10" s="5" t="str">
        <x:v>SDL-SM-4; SDL-SM-5</x:v>
      </x:c>
      <x:c r="E10" s="5" t="n">
        <x:v>3</x:v>
      </x:c>
      <x:c r="F10" s="5" t="str">
        <x:v>OCR extracted; requirement/table mapping reviewed</x:v>
      </x:c>
      <x:c r="G10" s="5" t="str">
        <x:v>Normativa/IEC 62443-4-1 2018.pdf</x:v>
      </x:c>
    </x:row>
    <x:row r="11" ht="38" customHeight="1">
      <x:c r="A11" s="5" t="str">
        <x:v>41</x:v>
      </x:c>
      <x:c r="B11" s="5" t="n">
        <x:v>25</x:v>
      </x:c>
      <x:c r="C11" s="5" t="n">
        <x:v>23</x:v>
      </x:c>
      <x:c r="D11" s="5" t="str">
        <x:v>SDL-SM-6; SDL-SM-7; SDL-SM-8</x:v>
      </x:c>
      <x:c r="E11" s="5" t="n">
        <x:v>3</x:v>
      </x:c>
      <x:c r="F11" s="5" t="str">
        <x:v>OCR extracted; requirement/table mapping reviewed</x:v>
      </x:c>
      <x:c r="G11" s="5" t="str">
        <x:v>Normativa/IEC 62443-4-1 2018.pdf</x:v>
      </x:c>
    </x:row>
    <x:row r="12" ht="38" customHeight="1">
      <x:c r="A12" s="5" t="str">
        <x:v>41</x:v>
      </x:c>
      <x:c r="B12" s="5" t="n">
        <x:v>26</x:v>
      </x:c>
      <x:c r="C12" s="5" t="n">
        <x:v>24</x:v>
      </x:c>
      <x:c r="D12" s="5" t="str">
        <x:v>SDL-SM-8; SDL-SM-9; SDL-SM-10</x:v>
      </x:c>
      <x:c r="E12" s="5" t="n">
        <x:v>2</x:v>
      </x:c>
      <x:c r="F12" s="5" t="str">
        <x:v>OCR extracted; requirement/table mapping reviewed</x:v>
      </x:c>
      <x:c r="G12" s="5" t="str">
        <x:v>Normativa/IEC 62443-4-1 2018.pdf</x:v>
      </x:c>
    </x:row>
    <x:row r="13" ht="38" customHeight="1">
      <x:c r="A13" s="5" t="str">
        <x:v>41</x:v>
      </x:c>
      <x:c r="B13" s="5" t="n">
        <x:v>27</x:v>
      </x:c>
      <x:c r="C13" s="5" t="n">
        <x:v>25</x:v>
      </x:c>
      <x:c r="D13" s="5" t="str">
        <x:v>SDL-SM-10; SDL-SM-11; SDL-SM-12; SDL-SM-13</x:v>
      </x:c>
      <x:c r="E13" s="5" t="n">
        <x:v>4</x:v>
      </x:c>
      <x:c r="F13" s="5" t="str">
        <x:v>OCR extracted; requirement/table mapping reviewed</x:v>
      </x:c>
      <x:c r="G13" s="5" t="str">
        <x:v>Normativa/IEC 62443-4-1 2018.pdf</x:v>
      </x:c>
    </x:row>
    <x:row r="14" ht="38" customHeight="1">
      <x:c r="A14" s="5" t="str">
        <x:v>41</x:v>
      </x:c>
      <x:c r="B14" s="5" t="n">
        <x:v>28</x:v>
      </x:c>
      <x:c r="C14" s="5" t="n">
        <x:v>26</x:v>
      </x:c>
      <x:c r="D14" s="5" t="str">
        <x:v>SDL-SM-13</x:v>
      </x:c>
      <x:c r="E14" s="5" t="n">
        <x:v>0</x:v>
      </x:c>
      <x:c r="F14" s="5" t="str">
        <x:v>OCR extracted; requirement/table mapping reviewed</x:v>
      </x:c>
      <x:c r="G14" s="5" t="str">
        <x:v>Normativa/IEC 62443-4-1 2018.pdf</x:v>
      </x:c>
    </x:row>
    <x:row r="15" ht="38" customHeight="1">
      <x:c r="A15" s="5" t="str">
        <x:v>41</x:v>
      </x:c>
      <x:c r="B15" s="5" t="n">
        <x:v>29</x:v>
      </x:c>
      <x:c r="C15" s="5" t="n">
        <x:v>27</x:v>
      </x:c>
      <x:c r="D15" s="5" t="str">
        <x:v>SDL-SR-1; SDL-SR-2</x:v>
      </x:c>
      <x:c r="E15" s="5" t="n">
        <x:v>3</x:v>
      </x:c>
      <x:c r="F15" s="5" t="str">
        <x:v>OCR extracted; requirement/table mapping reviewed</x:v>
      </x:c>
      <x:c r="G15" s="5" t="str">
        <x:v>Normativa/IEC 62443-4-1 2018.pdf</x:v>
      </x:c>
    </x:row>
    <x:row r="16" ht="38" customHeight="1">
      <x:c r="A16" s="5" t="str">
        <x:v>41</x:v>
      </x:c>
      <x:c r="B16" s="5" t="n">
        <x:v>30</x:v>
      </x:c>
      <x:c r="C16" s="5" t="n">
        <x:v>28</x:v>
      </x:c>
      <x:c r="D16" s="5" t="str">
        <x:v>SDL-SR-2; SDL-SR-3</x:v>
      </x:c>
      <x:c r="E16" s="5" t="n">
        <x:v>4</x:v>
      </x:c>
      <x:c r="F16" s="5" t="str">
        <x:v>OCR extracted; requirement/table mapping reviewed</x:v>
      </x:c>
      <x:c r="G16" s="5" t="str">
        <x:v>Normativa/IEC 62443-4-1 2018.pdf</x:v>
      </x:c>
    </x:row>
    <x:row r="17" ht="38" customHeight="1">
      <x:c r="A17" s="5" t="str">
        <x:v>41</x:v>
      </x:c>
      <x:c r="B17" s="5" t="n">
        <x:v>31</x:v>
      </x:c>
      <x:c r="C17" s="5" t="n">
        <x:v>29</x:v>
      </x:c>
      <x:c r="D17" s="5" t="str">
        <x:v>SDL-SR-4; SDL-SR-5</x:v>
      </x:c>
      <x:c r="E17" s="5" t="n">
        <x:v>4</x:v>
      </x:c>
      <x:c r="F17" s="5" t="str">
        <x:v>OCR extracted; requirement/table mapping reviewed</x:v>
      </x:c>
      <x:c r="G17" s="5" t="str">
        <x:v>Normativa/IEC 62443-4-1 2018.pdf</x:v>
      </x:c>
    </x:row>
    <x:row r="18" ht="38" customHeight="1">
      <x:c r="A18" s="5" t="str">
        <x:v>41</x:v>
      </x:c>
      <x:c r="B18" s="5" t="n">
        <x:v>32</x:v>
      </x:c>
      <x:c r="C18" s="5" t="n">
        <x:v>30</x:v>
      </x:c>
      <x:c r="D18" s="5" t="str">
        <x:v>SDL-SD-1</x:v>
      </x:c>
      <x:c r="E18" s="5" t="n">
        <x:v>1</x:v>
      </x:c>
      <x:c r="F18" s="5" t="str">
        <x:v>OCR extracted; requirement/table mapping reviewed</x:v>
      </x:c>
      <x:c r="G18" s="5" t="str">
        <x:v>Normativa/IEC 62443-4-1 2018.pdf</x:v>
      </x:c>
    </x:row>
    <x:row r="19" ht="38" customHeight="1">
      <x:c r="A19" s="5" t="str">
        <x:v>41</x:v>
      </x:c>
      <x:c r="B19" s="5" t="n">
        <x:v>33</x:v>
      </x:c>
      <x:c r="C19" s="5" t="n">
        <x:v>31</x:v>
      </x:c>
      <x:c r="D19" s="5" t="str">
        <x:v>SDL-SD-2</x:v>
      </x:c>
      <x:c r="E19" s="5" t="n">
        <x:v>2</x:v>
      </x:c>
      <x:c r="F19" s="5" t="str">
        <x:v>OCR extracted; requirement/table mapping reviewed</x:v>
      </x:c>
      <x:c r="G19" s="5" t="str">
        <x:v>Normativa/IEC 62443-4-1 2018.pdf</x:v>
      </x:c>
    </x:row>
    <x:row r="20" ht="38" customHeight="1">
      <x:c r="A20" s="5" t="str">
        <x:v>41</x:v>
      </x:c>
      <x:c r="B20" s="5" t="n">
        <x:v>34</x:v>
      </x:c>
      <x:c r="C20" s="5" t="n">
        <x:v>32</x:v>
      </x:c>
      <x:c r="D20" s="5" t="str">
        <x:v>SDL-SD-3; SDL-SD-4</x:v>
      </x:c>
      <x:c r="E20" s="5" t="n">
        <x:v>3</x:v>
      </x:c>
      <x:c r="F20" s="5" t="str">
        <x:v>OCR extracted; requirement/table mapping reviewed</x:v>
      </x:c>
      <x:c r="G20" s="5" t="str">
        <x:v>Normativa/IEC 62443-4-1 2018.pdf</x:v>
      </x:c>
    </x:row>
    <x:row r="21" ht="38" customHeight="1">
      <x:c r="A21" s="5" t="str">
        <x:v>41</x:v>
      </x:c>
      <x:c r="B21" s="5" t="n">
        <x:v>35</x:v>
      </x:c>
      <x:c r="C21" s="5" t="n">
        <x:v>33</x:v>
      </x:c>
      <x:c r="D21" s="5" t="str">
        <x:v>SDL-SD-4; SDL-SI-1</x:v>
      </x:c>
      <x:c r="E21" s="5" t="n">
        <x:v>3</x:v>
      </x:c>
      <x:c r="F21" s="5" t="str">
        <x:v>OCR extracted; requirement/table mapping reviewed</x:v>
      </x:c>
      <x:c r="G21" s="5" t="str">
        <x:v>Normativa/IEC 62443-4-1 2018.pdf</x:v>
      </x:c>
    </x:row>
    <x:row r="22" ht="38" customHeight="1">
      <x:c r="A22" s="5" t="str">
        <x:v>41</x:v>
      </x:c>
      <x:c r="B22" s="5" t="n">
        <x:v>36</x:v>
      </x:c>
      <x:c r="C22" s="5" t="n">
        <x:v>34</x:v>
      </x:c>
      <x:c r="D22" s="5" t="str">
        <x:v>SDL-SI-1; SDL-SI-2</x:v>
      </x:c>
      <x:c r="E22" s="5" t="n">
        <x:v>1</x:v>
      </x:c>
      <x:c r="F22" s="5" t="str">
        <x:v>OCR extracted; requirement/table mapping reviewed</x:v>
      </x:c>
      <x:c r="G22" s="5" t="str">
        <x:v>Normativa/IEC 62443-4-1 2018.pdf</x:v>
      </x:c>
    </x:row>
    <x:row r="23" ht="38" customHeight="1">
      <x:c r="A23" s="5" t="str">
        <x:v>41</x:v>
      </x:c>
      <x:c r="B23" s="5" t="n">
        <x:v>37</x:v>
      </x:c>
      <x:c r="C23" s="5" t="n">
        <x:v>35</x:v>
      </x:c>
      <x:c r="D23" s="5" t="str">
        <x:v>SDL-SVV-1; SDL-SVV-2</x:v>
      </x:c>
      <x:c r="E23" s="5" t="n">
        <x:v>4</x:v>
      </x:c>
      <x:c r="F23" s="5" t="str">
        <x:v>OCR extracted; requirement/table mapping reviewed</x:v>
      </x:c>
      <x:c r="G23" s="5" t="str">
        <x:v>Normativa/IEC 62443-4-1 2018.pdf</x:v>
      </x:c>
    </x:row>
    <x:row r="24" ht="38" customHeight="1">
      <x:c r="A24" s="5" t="str">
        <x:v>41</x:v>
      </x:c>
      <x:c r="B24" s="5" t="n">
        <x:v>38</x:v>
      </x:c>
      <x:c r="C24" s="5" t="n">
        <x:v>36</x:v>
      </x:c>
      <x:c r="D24" s="5" t="str">
        <x:v>SDL-SVV-3</x:v>
      </x:c>
      <x:c r="E24" s="5" t="n">
        <x:v>0</x:v>
      </x:c>
      <x:c r="F24" s="5" t="str">
        <x:v>Blank English scan; French recovery PDF94-96</x:v>
      </x:c>
      <x:c r="G24" s="5" t="str">
        <x:v>Normativa/IEC 62443-4-1 2018.pdf</x:v>
      </x:c>
    </x:row>
    <x:row r="25" ht="38" customHeight="1">
      <x:c r="A25" s="5" t="str">
        <x:v>41</x:v>
      </x:c>
      <x:c r="B25" s="5" t="n">
        <x:v>39</x:v>
      </x:c>
      <x:c r="C25" s="5" t="n">
        <x:v>37</x:v>
      </x:c>
      <x:c r="D25" s="5" t="str">
        <x:v>SDL-SVV-4; SDL-SVV-5</x:v>
      </x:c>
      <x:c r="E25" s="5" t="n">
        <x:v>0</x:v>
      </x:c>
      <x:c r="F25" s="5" t="str">
        <x:v>Blank English scan; French recovery PDF94-96</x:v>
      </x:c>
      <x:c r="G25" s="5" t="str">
        <x:v>Normativa/IEC 62443-4-1 2018.pdf</x:v>
      </x:c>
    </x:row>
    <x:row r="26" ht="38" customHeight="1">
      <x:c r="A26" s="5" t="str">
        <x:v>41</x:v>
      </x:c>
      <x:c r="B26" s="5" t="n">
        <x:v>40</x:v>
      </x:c>
      <x:c r="C26" s="5" t="n">
        <x:v>38</x:v>
      </x:c>
      <x:c r="D26" s="5" t="str">
        <x:v>SDL-DM-1; SDL-DM-2</x:v>
      </x:c>
      <x:c r="E26" s="5" t="n">
        <x:v>2</x:v>
      </x:c>
      <x:c r="F26" s="5" t="str">
        <x:v>OCR extracted; requirement/table mapping reviewed</x:v>
      </x:c>
      <x:c r="G26" s="5" t="str">
        <x:v>Normativa/IEC 62443-4-1 2018.pdf</x:v>
      </x:c>
    </x:row>
    <x:row r="27" ht="38" customHeight="1">
      <x:c r="A27" s="5" t="str">
        <x:v>41</x:v>
      </x:c>
      <x:c r="B27" s="5" t="n">
        <x:v>41</x:v>
      </x:c>
      <x:c r="C27" s="5" t="n">
        <x:v>39</x:v>
      </x:c>
      <x:c r="D27" s="5" t="str">
        <x:v>SDL-DM-2; SDL-DM-3</x:v>
      </x:c>
      <x:c r="E27" s="5" t="n">
        <x:v>1</x:v>
      </x:c>
      <x:c r="F27" s="5" t="str">
        <x:v>OCR extracted; requirement/table mapping reviewed</x:v>
      </x:c>
      <x:c r="G27" s="5" t="str">
        <x:v>Normativa/IEC 62443-4-1 2018.pdf</x:v>
      </x:c>
    </x:row>
    <x:row r="28" ht="38" customHeight="1">
      <x:c r="A28" s="5" t="str">
        <x:v>41</x:v>
      </x:c>
      <x:c r="B28" s="5" t="n">
        <x:v>42</x:v>
      </x:c>
      <x:c r="C28" s="5" t="n">
        <x:v>40</x:v>
      </x:c>
      <x:c r="D28" s="5" t="str">
        <x:v>SDL-DM-4</x:v>
      </x:c>
      <x:c r="E28" s="5" t="n">
        <x:v>7</x:v>
      </x:c>
      <x:c r="F28" s="5" t="str">
        <x:v>OCR extracted; requirement/table mapping reviewed</x:v>
      </x:c>
      <x:c r="G28" s="5" t="str">
        <x:v>Normativa/IEC 62443-4-1 2018.pdf</x:v>
      </x:c>
    </x:row>
    <x:row r="29" ht="38" customHeight="1">
      <x:c r="A29" s="5" t="str">
        <x:v>41</x:v>
      </x:c>
      <x:c r="B29" s="5" t="n">
        <x:v>43</x:v>
      </x:c>
      <x:c r="C29" s="5" t="n">
        <x:v>41</x:v>
      </x:c>
      <x:c r="D29" s="5" t="str">
        <x:v>SDL-DM-5</x:v>
      </x:c>
      <x:c r="E29" s="5" t="n">
        <x:v>1</x:v>
      </x:c>
      <x:c r="F29" s="5" t="str">
        <x:v>OCR extracted; requirement/table mapping reviewed</x:v>
      </x:c>
      <x:c r="G29" s="5" t="str">
        <x:v>Normativa/IEC 62443-4-1 2018.pdf</x:v>
      </x:c>
    </x:row>
    <x:row r="30" ht="38" customHeight="1">
      <x:c r="A30" s="5" t="str">
        <x:v>41</x:v>
      </x:c>
      <x:c r="B30" s="5" t="n">
        <x:v>44</x:v>
      </x:c>
      <x:c r="C30" s="5" t="n">
        <x:v>42</x:v>
      </x:c>
      <x:c r="D30" s="5" t="str">
        <x:v>SDL-DM-6; SDL-SUM-1; SDL-SUM-2</x:v>
      </x:c>
      <x:c r="E30" s="5" t="n">
        <x:v>5</x:v>
      </x:c>
      <x:c r="F30" s="5" t="str">
        <x:v>OCR extracted; requirement/table mapping reviewed</x:v>
      </x:c>
      <x:c r="G30" s="5" t="str">
        <x:v>Normativa/IEC 62443-4-1 2018.pdf</x:v>
      </x:c>
    </x:row>
    <x:row r="31" ht="38" customHeight="1">
      <x:c r="A31" s="5" t="str">
        <x:v>41</x:v>
      </x:c>
      <x:c r="B31" s="5" t="n">
        <x:v>45</x:v>
      </x:c>
      <x:c r="C31" s="5" t="n">
        <x:v>43</x:v>
      </x:c>
      <x:c r="D31" s="5" t="str">
        <x:v>SDL-SUM-2; SDL-SUM-3; SDL-SUM-4</x:v>
      </x:c>
      <x:c r="E31" s="5" t="n">
        <x:v>2</x:v>
      </x:c>
      <x:c r="F31" s="5" t="str">
        <x:v>OCR extracted; requirement/table mapping reviewed</x:v>
      </x:c>
      <x:c r="G31" s="5" t="str">
        <x:v>Normativa/IEC 62443-4-1 2018.pdf</x:v>
      </x:c>
    </x:row>
    <x:row r="32" ht="38" customHeight="1">
      <x:c r="A32" s="5" t="str">
        <x:v>41</x:v>
      </x:c>
      <x:c r="B32" s="5" t="n">
        <x:v>46</x:v>
      </x:c>
      <x:c r="C32" s="5" t="n">
        <x:v>44</x:v>
      </x:c>
      <x:c r="D32" s="5" t="str">
        <x:v>SDL-SUM-5; SDL-SG-1</x:v>
      </x:c>
      <x:c r="E32" s="5" t="n">
        <x:v>3</x:v>
      </x:c>
      <x:c r="F32" s="5" t="str">
        <x:v>OCR extracted; requirement/table mapping reviewed</x:v>
      </x:c>
      <x:c r="G32" s="5" t="str">
        <x:v>Normativa/IEC 62443-4-1 2018.pdf</x:v>
      </x:c>
    </x:row>
    <x:row r="33" ht="38" customHeight="1">
      <x:c r="A33" s="5" t="str">
        <x:v>41</x:v>
      </x:c>
      <x:c r="B33" s="5" t="n">
        <x:v>47</x:v>
      </x:c>
      <x:c r="C33" s="5" t="n">
        <x:v>45</x:v>
      </x:c>
      <x:c r="D33" s="5" t="str">
        <x:v>SDL-SG-1; SDL-SG-2; SDL-SG-3</x:v>
      </x:c>
      <x:c r="E33" s="5" t="n">
        <x:v>3</x:v>
      </x:c>
      <x:c r="F33" s="5" t="str">
        <x:v>OCR extracted; requirement/table mapping reviewed</x:v>
      </x:c>
      <x:c r="G33" s="5" t="str">
        <x:v>Normativa/IEC 62443-4-1 2018.pdf</x:v>
      </x:c>
    </x:row>
    <x:row r="34" ht="38" customHeight="1">
      <x:c r="A34" s="5" t="str">
        <x:v>41</x:v>
      </x:c>
      <x:c r="B34" s="5" t="n">
        <x:v>48</x:v>
      </x:c>
      <x:c r="C34" s="5" t="n">
        <x:v>46</x:v>
      </x:c>
      <x:c r="D34" s="5" t="str">
        <x:v>SDL-SG-3; SDL-SG-4; SDL-SG-5</x:v>
      </x:c>
      <x:c r="E34" s="5" t="n">
        <x:v>3</x:v>
      </x:c>
      <x:c r="F34" s="5" t="str">
        <x:v>OCR extracted; requirement/table mapping reviewed</x:v>
      </x:c>
      <x:c r="G34" s="5" t="str">
        <x:v>Normativa/IEC 62443-4-1 2018.pdf</x:v>
      </x:c>
    </x:row>
    <x:row r="35" ht="38" customHeight="1">
      <x:c r="A35" s="5" t="str">
        <x:v>41</x:v>
      </x:c>
      <x:c r="B35" s="5" t="n">
        <x:v>49</x:v>
      </x:c>
      <x:c r="C35" s="5" t="n">
        <x:v>47</x:v>
      </x:c>
      <x:c r="D35" s="5" t="str">
        <x:v>SDL-SG-6; SDL-SG-7</x:v>
      </x:c>
      <x:c r="E35" s="5" t="n">
        <x:v>2</x:v>
      </x:c>
      <x:c r="F35" s="5" t="str">
        <x:v>OCR extracted; requirement/table mapping reviewed</x:v>
      </x:c>
      <x:c r="G35" s="5" t="str">
        <x:v>Normativa/IEC 62443-4-1 2018.pdf</x:v>
      </x:c>
    </x:row>
    <x:row r="36" ht="38" customHeight="1">
      <x:c r="A36" s="5" t="str">
        <x:v>42</x:v>
      </x:c>
      <x:c r="B36" s="5" t="n">
        <x:v>29</x:v>
      </x:c>
      <x:c r="C36" s="5" t="n">
        <x:v>27</x:v>
      </x:c>
      <x:c r="D36" s="5" t="str">
        <x:v>COMP-CCSC1; COMP-CCSC2; COMP-CCSC3; COMP-CCSC4</x:v>
      </x:c>
      <x:c r="E36" s="5" t="n">
        <x:v>6</x:v>
      </x:c>
      <x:c r="F36" s="5" t="str">
        <x:v>OCR extracted; requirement/table mapping reviewed</x:v>
      </x:c>
      <x:c r="G36" s="5" t="str">
        <x:v>Normativa/IEC 62443-4-2-2019.pdf</x:v>
      </x:c>
    </x:row>
    <x:row r="37" ht="38" customHeight="1">
      <x:c r="A37" s="5" t="str">
        <x:v>42</x:v>
      </x:c>
      <x:c r="B37" s="5" t="n">
        <x:v>30</x:v>
      </x:c>
      <x:c r="C37" s="5" t="n">
        <x:v>28</x:v>
      </x:c>
      <x:c r="D37" s="5" t="str">
        <x:v>COMP-CR1-1; COMP-CR1-1-RE1; COMP-CR1-1-RE2</x:v>
      </x:c>
      <x:c r="E37" s="5" t="n">
        <x:v>4</x:v>
      </x:c>
      <x:c r="F37" s="5" t="str">
        <x:v>OCR extracted; requirement/table mapping reviewed</x:v>
      </x:c>
      <x:c r="G37" s="5" t="str">
        <x:v>Normativa/IEC 62443-4-2-2019.pdf</x:v>
      </x:c>
    </x:row>
    <x:row r="38" ht="38" customHeight="1">
      <x:c r="A38" s="5" t="str">
        <x:v>42</x:v>
      </x:c>
      <x:c r="B38" s="5" t="n">
        <x:v>31</x:v>
      </x:c>
      <x:c r="C38" s="5" t="n">
        <x:v>29</x:v>
      </x:c>
      <x:c r="D38" s="5" t="str">
        <x:v>COMP-CR1-1; COMP-CR1-2; COMP-CR1-2-RE1</x:v>
      </x:c>
      <x:c r="E38" s="5" t="n">
        <x:v>2</x:v>
      </x:c>
      <x:c r="F38" s="5" t="str">
        <x:v>OCR extracted; requirement/table mapping reviewed</x:v>
      </x:c>
      <x:c r="G38" s="5" t="str">
        <x:v>Normativa/IEC 62443-4-2-2019.pdf</x:v>
      </x:c>
    </x:row>
    <x:row r="39" ht="38" customHeight="1">
      <x:c r="A39" s="5" t="str">
        <x:v>42</x:v>
      </x:c>
      <x:c r="B39" s="5" t="n">
        <x:v>32</x:v>
      </x:c>
      <x:c r="C39" s="5" t="n">
        <x:v>30</x:v>
      </x:c>
      <x:c r="D39" s="5" t="str">
        <x:v>COMP-CR1-2; COMP-CR1-3; COMP-CR1-4</x:v>
      </x:c>
      <x:c r="E39" s="5" t="n">
        <x:v>2</x:v>
      </x:c>
      <x:c r="F39" s="5" t="str">
        <x:v>OCR extracted; requirement/table mapping reviewed</x:v>
      </x:c>
      <x:c r="G39" s="5" t="str">
        <x:v>Normativa/IEC 62443-4-2-2019.pdf</x:v>
      </x:c>
    </x:row>
    <x:row r="40" ht="38" customHeight="1">
      <x:c r="A40" s="5" t="str">
        <x:v>42</x:v>
      </x:c>
      <x:c r="B40" s="5" t="n">
        <x:v>33</x:v>
      </x:c>
      <x:c r="C40" s="5" t="n">
        <x:v>31</x:v>
      </x:c>
      <x:c r="D40" s="5" t="str">
        <x:v>COMP-CR1-4; COMP-CR1-5</x:v>
      </x:c>
      <x:c r="E40" s="5" t="n">
        <x:v>1</x:v>
      </x:c>
      <x:c r="F40" s="5" t="str">
        <x:v>OCR extracted; requirement/table mapping reviewed</x:v>
      </x:c>
      <x:c r="G40" s="5" t="str">
        <x:v>Normativa/IEC 62443-4-2-2019.pdf</x:v>
      </x:c>
    </x:row>
    <x:row r="41" ht="38" customHeight="1">
      <x:c r="A41" s="5" t="str">
        <x:v>42</x:v>
      </x:c>
      <x:c r="B41" s="5" t="n">
        <x:v>34</x:v>
      </x:c>
      <x:c r="C41" s="5" t="n">
        <x:v>32</x:v>
      </x:c>
      <x:c r="D41" s="5" t="str">
        <x:v>COMP-CR1-5; COMP-CR1-7; COMP-CR1-5-RE1; COMP-CR1-7-RE1</x:v>
      </x:c>
      <x:c r="E41" s="5" t="n">
        <x:v>2</x:v>
      </x:c>
      <x:c r="F41" s="5" t="str">
        <x:v>OCR extracted; requirement/table mapping reviewed</x:v>
      </x:c>
      <x:c r="G41" s="5" t="str">
        <x:v>Normativa/IEC 62443-4-2-2019.pdf</x:v>
      </x:c>
    </x:row>
    <x:row r="42" ht="38" customHeight="1">
      <x:c r="A42" s="5" t="str">
        <x:v>42</x:v>
      </x:c>
      <x:c r="B42" s="5" t="n">
        <x:v>35</x:v>
      </x:c>
      <x:c r="C42" s="5" t="n">
        <x:v>33</x:v>
      </x:c>
      <x:c r="D42" s="5" t="str">
        <x:v>COMP-CR1-7; COMP-CR1-8; COMP-CR1-7-RE1; COMP-CR1-7-RE2</x:v>
      </x:c>
      <x:c r="E42" s="5" t="n">
        <x:v>5</x:v>
      </x:c>
      <x:c r="F42" s="5" t="str">
        <x:v>OCR extracted; requirement/table mapping reviewed</x:v>
      </x:c>
      <x:c r="G42" s="5" t="str">
        <x:v>Normativa/IEC 62443-4-2-2019.pdf</x:v>
      </x:c>
    </x:row>
    <x:row r="43" ht="38" customHeight="1">
      <x:c r="A43" s="5" t="str">
        <x:v>42</x:v>
      </x:c>
      <x:c r="B43" s="5" t="n">
        <x:v>36</x:v>
      </x:c>
      <x:c r="C43" s="5" t="n">
        <x:v>34</x:v>
      </x:c>
      <x:c r="D43" s="5" t="str">
        <x:v>COMP-CR1-9</x:v>
      </x:c>
      <x:c r="E43" s="5" t="n">
        <x:v>1</x:v>
      </x:c>
      <x:c r="F43" s="5" t="str">
        <x:v>OCR extracted; requirement/table mapping reviewed</x:v>
      </x:c>
      <x:c r="G43" s="5" t="str">
        <x:v>Normativa/IEC 62443-4-2-2019.pdf</x:v>
      </x:c>
    </x:row>
    <x:row r="44" ht="38" customHeight="1">
      <x:c r="A44" s="5" t="str">
        <x:v>42</x:v>
      </x:c>
      <x:c r="B44" s="5" t="n">
        <x:v>37</x:v>
      </x:c>
      <x:c r="C44" s="5" t="n">
        <x:v>35</x:v>
      </x:c>
      <x:c r="D44" s="5" t="str">
        <x:v>COMP-CR1-9; COMP-CR1-10; COMP-CR1-11; COMP-CR1-9-RE1</x:v>
      </x:c>
      <x:c r="E44" s="5" t="n">
        <x:v>3</x:v>
      </x:c>
      <x:c r="F44" s="5" t="str">
        <x:v>OCR extracted; requirement/table mapping reviewed</x:v>
      </x:c>
      <x:c r="G44" s="5" t="str">
        <x:v>Normativa/IEC 62443-4-2-2019.pdf</x:v>
      </x:c>
    </x:row>
    <x:row r="45" ht="38" customHeight="1">
      <x:c r="A45" s="5" t="str">
        <x:v>42</x:v>
      </x:c>
      <x:c r="B45" s="5" t="n">
        <x:v>38</x:v>
      </x:c>
      <x:c r="C45" s="5" t="n">
        <x:v>36</x:v>
      </x:c>
      <x:c r="D45" s="5" t="str">
        <x:v>COMP-CR1-11; COMP-CR1-12</x:v>
      </x:c>
      <x:c r="E45" s="5" t="n">
        <x:v>2</x:v>
      </x:c>
      <x:c r="F45" s="5" t="str">
        <x:v>OCR extracted; requirement/table mapping reviewed</x:v>
      </x:c>
      <x:c r="G45" s="5" t="str">
        <x:v>Normativa/IEC 62443-4-2-2019.pdf</x:v>
      </x:c>
    </x:row>
    <x:row r="46" ht="38" customHeight="1">
      <x:c r="A46" s="5" t="str">
        <x:v>42</x:v>
      </x:c>
      <x:c r="B46" s="5" t="n">
        <x:v>39</x:v>
      </x:c>
      <x:c r="C46" s="5" t="n">
        <x:v>37</x:v>
      </x:c>
      <x:c r="D46" s="5" t="str">
        <x:v>COMP-CR1-12; COMP-CR1-14; COMP-CR1-14-RE1</x:v>
      </x:c>
      <x:c r="E46" s="5" t="n">
        <x:v>2</x:v>
      </x:c>
      <x:c r="F46" s="5" t="str">
        <x:v>OCR extracted; requirement/table mapping reviewed</x:v>
      </x:c>
      <x:c r="G46" s="5" t="str">
        <x:v>Normativa/IEC 62443-4-2-2019.pdf</x:v>
      </x:c>
    </x:row>
    <x:row r="47" ht="38" customHeight="1">
      <x:c r="A47" s="5" t="str">
        <x:v>42</x:v>
      </x:c>
      <x:c r="B47" s="5" t="n">
        <x:v>40</x:v>
      </x:c>
      <x:c r="C47" s="5" t="n">
        <x:v>38</x:v>
      </x:c>
      <x:c r="D47" s="5" t="str">
        <x:v>COMP-CR1-14; COMP-CR2-1</x:v>
      </x:c>
      <x:c r="E47" s="5" t="n">
        <x:v>1</x:v>
      </x:c>
      <x:c r="F47" s="5" t="str">
        <x:v>OCR extracted; requirement/table mapping reviewed</x:v>
      </x:c>
      <x:c r="G47" s="5" t="str">
        <x:v>Normativa/IEC 62443-4-2-2019.pdf</x:v>
      </x:c>
    </x:row>
    <x:row r="48" ht="38" customHeight="1">
      <x:c r="A48" s="5" t="str">
        <x:v>42</x:v>
      </x:c>
      <x:c r="B48" s="5" t="n">
        <x:v>41</x:v>
      </x:c>
      <x:c r="C48" s="5" t="n">
        <x:v>39</x:v>
      </x:c>
      <x:c r="D48" s="5" t="str">
        <x:v>COMP-CR2-1; COMP-CR2-1-RE1; COMP-CR2-1-RE2; COMP-CR2-1-RE3; COMP-CR2-1-RE4</x:v>
      </x:c>
      <x:c r="E48" s="5" t="n">
        <x:v>4</x:v>
      </x:c>
      <x:c r="F48" s="5" t="str">
        <x:v>OCR extracted; requirement/table mapping reviewed</x:v>
      </x:c>
      <x:c r="G48" s="5" t="str">
        <x:v>Normativa/IEC 62443-4-2-2019.pdf</x:v>
      </x:c>
    </x:row>
    <x:row r="49" ht="38" customHeight="1">
      <x:c r="A49" s="5" t="str">
        <x:v>42</x:v>
      </x:c>
      <x:c r="B49" s="5" t="n">
        <x:v>42</x:v>
      </x:c>
      <x:c r="C49" s="5" t="n">
        <x:v>40</x:v>
      </x:c>
      <x:c r="D49" s="5" t="str">
        <x:v>COMP-CR2-2; COMP-CR2-5</x:v>
      </x:c>
      <x:c r="E49" s="5" t="n">
        <x:v>2</x:v>
      </x:c>
      <x:c r="F49" s="5" t="str">
        <x:v>OCR extracted; requirement/table mapping reviewed</x:v>
      </x:c>
      <x:c r="G49" s="5" t="str">
        <x:v>Normativa/IEC 62443-4-2-2019.pdf</x:v>
      </x:c>
    </x:row>
    <x:row r="50" ht="38" customHeight="1">
      <x:c r="A50" s="5" t="str">
        <x:v>42</x:v>
      </x:c>
      <x:c r="B50" s="5" t="n">
        <x:v>43</x:v>
      </x:c>
      <x:c r="C50" s="5" t="n">
        <x:v>41</x:v>
      </x:c>
      <x:c r="D50" s="5" t="str">
        <x:v>COMP-CR2-5; COMP-CR2-6; COMP-CR2-7</x:v>
      </x:c>
      <x:c r="E50" s="5" t="n">
        <x:v>2</x:v>
      </x:c>
      <x:c r="F50" s="5" t="str">
        <x:v>OCR extracted; requirement/table mapping reviewed</x:v>
      </x:c>
      <x:c r="G50" s="5" t="str">
        <x:v>Normativa/IEC 62443-4-2-2019.pdf</x:v>
      </x:c>
    </x:row>
    <x:row r="51" ht="38" customHeight="1">
      <x:c r="A51" s="5" t="str">
        <x:v>42</x:v>
      </x:c>
      <x:c r="B51" s="5" t="n">
        <x:v>44</x:v>
      </x:c>
      <x:c r="C51" s="5" t="n">
        <x:v>42</x:v>
      </x:c>
      <x:c r="D51" s="5" t="str">
        <x:v>COMP-CR2-7; COMP-CR2-8</x:v>
      </x:c>
      <x:c r="E51" s="5" t="n">
        <x:v>2</x:v>
      </x:c>
      <x:c r="F51" s="5" t="str">
        <x:v>OCR extracted; requirement/table mapping reviewed</x:v>
      </x:c>
      <x:c r="G51" s="5" t="str">
        <x:v>Normativa/IEC 62443-4-2-2019.pdf</x:v>
      </x:c>
    </x:row>
    <x:row r="52" ht="38" customHeight="1">
      <x:c r="A52" s="5" t="str">
        <x:v>42</x:v>
      </x:c>
      <x:c r="B52" s="5" t="n">
        <x:v>45</x:v>
      </x:c>
      <x:c r="C52" s="5" t="n">
        <x:v>43</x:v>
      </x:c>
      <x:c r="D52" s="5" t="str">
        <x:v>COMP-CR2-8; COMP-CR2-9; COMP-CR2-10; COMP-CR2-9-RE1</x:v>
      </x:c>
      <x:c r="E52" s="5" t="n">
        <x:v>3</x:v>
      </x:c>
      <x:c r="F52" s="5" t="str">
        <x:v>OCR extracted; requirement/table mapping reviewed</x:v>
      </x:c>
      <x:c r="G52" s="5" t="str">
        <x:v>Normativa/IEC 62443-4-2-2019.pdf</x:v>
      </x:c>
    </x:row>
    <x:row r="53" ht="38" customHeight="1">
      <x:c r="A53" s="5" t="str">
        <x:v>42</x:v>
      </x:c>
      <x:c r="B53" s="5" t="n">
        <x:v>46</x:v>
      </x:c>
      <x:c r="C53" s="5" t="n">
        <x:v>44</x:v>
      </x:c>
      <x:c r="D53" s="5" t="str">
        <x:v>COMP-CR2-10; COMP-CR2-11; COMP-CR2-11-RE1; COMP-CR2-11-RE2</x:v>
      </x:c>
      <x:c r="E53" s="5" t="n">
        <x:v>3</x:v>
      </x:c>
      <x:c r="F53" s="5" t="str">
        <x:v>OCR extracted; requirement/table mapping reviewed</x:v>
      </x:c>
      <x:c r="G53" s="5" t="str">
        <x:v>Normativa/IEC 62443-4-2-2019.pdf</x:v>
      </x:c>
    </x:row>
    <x:row r="54" ht="38" customHeight="1">
      <x:c r="A54" s="5" t="str">
        <x:v>42</x:v>
      </x:c>
      <x:c r="B54" s="5" t="n">
        <x:v>47</x:v>
      </x:c>
      <x:c r="C54" s="5" t="n">
        <x:v>45</x:v>
      </x:c>
      <x:c r="D54" s="5" t="str">
        <x:v>COMP-CR2-12; COMP-CR2-12-RE1</x:v>
      </x:c>
      <x:c r="E54" s="5" t="n">
        <x:v>3</x:v>
      </x:c>
      <x:c r="F54" s="5" t="str">
        <x:v>OCR extracted; requirement/table mapping reviewed</x:v>
      </x:c>
      <x:c r="G54" s="5" t="str">
        <x:v>Normativa/IEC 62443-4-2-2019.pdf</x:v>
      </x:c>
    </x:row>
    <x:row r="55" ht="38" customHeight="1">
      <x:c r="A55" s="5" t="str">
        <x:v>42</x:v>
      </x:c>
      <x:c r="B55" s="5" t="n">
        <x:v>48</x:v>
      </x:c>
      <x:c r="C55" s="5" t="n">
        <x:v>46</x:v>
      </x:c>
      <x:c r="D55" s="5" t="str">
        <x:v>COMP-CR3-1</x:v>
      </x:c>
      <x:c r="E55" s="5" t="n">
        <x:v>1</x:v>
      </x:c>
      <x:c r="F55" s="5" t="str">
        <x:v>OCR extracted; requirement/table mapping reviewed</x:v>
      </x:c>
      <x:c r="G55" s="5" t="str">
        <x:v>Normativa/IEC 62443-4-2-2019.pdf</x:v>
      </x:c>
    </x:row>
    <x:row r="56" ht="38" customHeight="1">
      <x:c r="A56" s="5" t="str">
        <x:v>42</x:v>
      </x:c>
      <x:c r="B56" s="5" t="n">
        <x:v>49</x:v>
      </x:c>
      <x:c r="C56" s="5" t="n">
        <x:v>47</x:v>
      </x:c>
      <x:c r="D56" s="5" t="str">
        <x:v>COMP-CR3-1; COMP-CR3-3; COMP-CR3-1-RE1; COMP-CR3-3-RE1</x:v>
      </x:c>
      <x:c r="E56" s="5" t="n">
        <x:v>3</x:v>
      </x:c>
      <x:c r="F56" s="5" t="str">
        <x:v>OCR extracted; requirement/table mapping reviewed</x:v>
      </x:c>
      <x:c r="G56" s="5" t="str">
        <x:v>Normativa/IEC 62443-4-2-2019.pdf</x:v>
      </x:c>
    </x:row>
    <x:row r="57" ht="38" customHeight="1">
      <x:c r="A57" s="5" t="str">
        <x:v>42</x:v>
      </x:c>
      <x:c r="B57" s="5" t="n">
        <x:v>50</x:v>
      </x:c>
      <x:c r="C57" s="5" t="n">
        <x:v>48</x:v>
      </x:c>
      <x:c r="D57" s="5" t="str">
        <x:v>COMP-CR3-3; COMP-CR3-4; COMP-CR3-5; COMP-CR3-4-RE1; COMP-CR3-4-RE2</x:v>
      </x:c>
      <x:c r="E57" s="5" t="n">
        <x:v>4</x:v>
      </x:c>
      <x:c r="F57" s="5" t="str">
        <x:v>OCR extracted; requirement/table mapping reviewed</x:v>
      </x:c>
      <x:c r="G57" s="5" t="str">
        <x:v>Normativa/IEC 62443-4-2-2019.pdf</x:v>
      </x:c>
    </x:row>
    <x:row r="58" ht="38" customHeight="1">
      <x:c r="A58" s="5" t="str">
        <x:v>42</x:v>
      </x:c>
      <x:c r="B58" s="5" t="n">
        <x:v>51</x:v>
      </x:c>
      <x:c r="C58" s="5" t="n">
        <x:v>49</x:v>
      </x:c>
      <x:c r="D58" s="5" t="str">
        <x:v>COMP-CR3-5; COMP-CR3-6</x:v>
      </x:c>
      <x:c r="E58" s="5" t="n">
        <x:v>1</x:v>
      </x:c>
      <x:c r="F58" s="5" t="str">
        <x:v>OCR extracted; requirement/table mapping reviewed</x:v>
      </x:c>
      <x:c r="G58" s="5" t="str">
        <x:v>Normativa/IEC 62443-4-2-2019.pdf</x:v>
      </x:c>
    </x:row>
    <x:row r="59" ht="38" customHeight="1">
      <x:c r="A59" s="5" t="str">
        <x:v>42</x:v>
      </x:c>
      <x:c r="B59" s="5" t="n">
        <x:v>52</x:v>
      </x:c>
      <x:c r="C59" s="5" t="n">
        <x:v>50</x:v>
      </x:c>
      <x:c r="D59" s="5" t="str">
        <x:v>COMP-CR3-6; COMP-CR3-7; COMP-CR3-8</x:v>
      </x:c>
      <x:c r="E59" s="5" t="n">
        <x:v>2</x:v>
      </x:c>
      <x:c r="F59" s="5" t="str">
        <x:v>OCR extracted; requirement/table mapping reviewed</x:v>
      </x:c>
      <x:c r="G59" s="5" t="str">
        <x:v>Normativa/IEC 62443-4-2-2019.pdf</x:v>
      </x:c>
    </x:row>
    <x:row r="60" ht="38" customHeight="1">
      <x:c r="A60" s="5" t="str">
        <x:v>42</x:v>
      </x:c>
      <x:c r="B60" s="5" t="n">
        <x:v>53</x:v>
      </x:c>
      <x:c r="C60" s="5" t="n">
        <x:v>51</x:v>
      </x:c>
      <x:c r="D60" s="5" t="str">
        <x:v>COMP-CR3-8; COMP-CR3-9; COMP-CR3-9-RE1</x:v>
      </x:c>
      <x:c r="E60" s="5" t="n">
        <x:v>2</x:v>
      </x:c>
      <x:c r="F60" s="5" t="str">
        <x:v>OCR extracted; requirement/table mapping reviewed</x:v>
      </x:c>
      <x:c r="G60" s="5" t="str">
        <x:v>Normativa/IEC 62443-4-2-2019.pdf</x:v>
      </x:c>
    </x:row>
    <x:row r="61" ht="38" customHeight="1">
      <x:c r="A61" s="5" t="str">
        <x:v>42</x:v>
      </x:c>
      <x:c r="B61" s="5" t="n">
        <x:v>54</x:v>
      </x:c>
      <x:c r="C61" s="5" t="n">
        <x:v>52</x:v>
      </x:c>
      <x:c r="D61" s="5" t="str">
        <x:v>COMP-CR4-1</x:v>
      </x:c>
      <x:c r="E61" s="5" t="n">
        <x:v>1</x:v>
      </x:c>
      <x:c r="F61" s="5" t="str">
        <x:v>OCR extracted; requirement/table mapping reviewed</x:v>
      </x:c>
      <x:c r="G61" s="5" t="str">
        <x:v>Normativa/IEC 62443-4-2-2019.pdf</x:v>
      </x:c>
    </x:row>
    <x:row r="62" ht="38" customHeight="1">
      <x:c r="A62" s="5" t="str">
        <x:v>42</x:v>
      </x:c>
      <x:c r="B62" s="5" t="n">
        <x:v>55</x:v>
      </x:c>
      <x:c r="C62" s="5" t="n">
        <x:v>53</x:v>
      </x:c>
      <x:c r="D62" s="5" t="str">
        <x:v>COMP-CR4-1; COMP-CR4-2; COMP-CR4-2-RE1</x:v>
      </x:c>
      <x:c r="E62" s="5" t="n">
        <x:v>2</x:v>
      </x:c>
      <x:c r="F62" s="5" t="str">
        <x:v>OCR extracted; requirement/table mapping reviewed</x:v>
      </x:c>
      <x:c r="G62" s="5" t="str">
        <x:v>Normativa/IEC 62443-4-2-2019.pdf</x:v>
      </x:c>
    </x:row>
    <x:row r="63" ht="38" customHeight="1">
      <x:c r="A63" s="5" t="str">
        <x:v>42</x:v>
      </x:c>
      <x:c r="B63" s="5" t="n">
        <x:v>56</x:v>
      </x:c>
      <x:c r="C63" s="5" t="n">
        <x:v>54</x:v>
      </x:c>
      <x:c r="D63" s="5" t="str">
        <x:v>COMP-CR4-2; COMP-CR4-3; COMP-CR4-2-RE1; COMP-CR4-2-RE2</x:v>
      </x:c>
      <x:c r="E63" s="5" t="n">
        <x:v>2</x:v>
      </x:c>
      <x:c r="F63" s="5" t="str">
        <x:v>OCR extracted; requirement/table mapping reviewed</x:v>
      </x:c>
      <x:c r="G63" s="5" t="str">
        <x:v>Normativa/IEC 62443-4-2-2019.pdf</x:v>
      </x:c>
    </x:row>
    <x:row r="64" ht="38" customHeight="1">
      <x:c r="A64" s="5" t="str">
        <x:v>42</x:v>
      </x:c>
      <x:c r="B64" s="5" t="n">
        <x:v>57</x:v>
      </x:c>
      <x:c r="C64" s="5" t="n">
        <x:v>55</x:v>
      </x:c>
      <x:c r="D64" s="5" t="str">
        <x:v>COMP-CR4-3; COMP-CR5-1</x:v>
      </x:c>
      <x:c r="E64" s="5" t="n">
        <x:v>1</x:v>
      </x:c>
      <x:c r="F64" s="5" t="str">
        <x:v>OCR extracted; requirement/table mapping reviewed</x:v>
      </x:c>
      <x:c r="G64" s="5" t="str">
        <x:v>Normativa/IEC 62443-4-2-2019.pdf</x:v>
      </x:c>
    </x:row>
    <x:row r="65" ht="38" customHeight="1">
      <x:c r="A65" s="5" t="str">
        <x:v>42</x:v>
      </x:c>
      <x:c r="B65" s="5" t="n">
        <x:v>58</x:v>
      </x:c>
      <x:c r="C65" s="5" t="n">
        <x:v>56</x:v>
      </x:c>
      <x:c r="D65" s="5" t="str">
        <x:v>COMP-CR5-1</x:v>
      </x:c>
      <x:c r="E65" s="5" t="n">
        <x:v>0</x:v>
      </x:c>
      <x:c r="F65" s="5" t="str">
        <x:v>OCR extracted; requirement/table mapping reviewed</x:v>
      </x:c>
      <x:c r="G65" s="5" t="str">
        <x:v>Normativa/IEC 62443-4-2-2019.pdf</x:v>
      </x:c>
    </x:row>
    <x:row r="66" ht="38" customHeight="1">
      <x:c r="A66" s="5" t="str">
        <x:v>42</x:v>
      </x:c>
      <x:c r="B66" s="5" t="n">
        <x:v>59</x:v>
      </x:c>
      <x:c r="C66" s="5" t="n">
        <x:v>57</x:v>
      </x:c>
      <x:c r="D66" s="5" t="str">
        <x:v>COMP-CR6-1; COMP-CR6-2; COMP-CR6-1-RE1</x:v>
      </x:c>
      <x:c r="E66" s="5" t="n">
        <x:v>3</x:v>
      </x:c>
      <x:c r="F66" s="5" t="str">
        <x:v>OCR extracted; requirement/table mapping reviewed</x:v>
      </x:c>
      <x:c r="G66" s="5" t="str">
        <x:v>Normativa/IEC 62443-4-2-2019.pdf</x:v>
      </x:c>
    </x:row>
    <x:row r="67" ht="38" customHeight="1">
      <x:c r="A67" s="5" t="str">
        <x:v>42</x:v>
      </x:c>
      <x:c r="B67" s="5" t="n">
        <x:v>60</x:v>
      </x:c>
      <x:c r="C67" s="5" t="n">
        <x:v>58</x:v>
      </x:c>
      <x:c r="D67" s="5" t="str">
        <x:v>COMP-CR6-2</x:v>
      </x:c>
      <x:c r="E67" s="5" t="n">
        <x:v>0</x:v>
      </x:c>
      <x:c r="F67" s="5" t="str">
        <x:v>OCR extracted; requirement/table mapping reviewed</x:v>
      </x:c>
      <x:c r="G67" s="5" t="str">
        <x:v>Normativa/IEC 62443-4-2-2019.pdf</x:v>
      </x:c>
    </x:row>
    <x:row r="68" ht="38" customHeight="1">
      <x:c r="A68" s="5" t="str">
        <x:v>42</x:v>
      </x:c>
      <x:c r="B68" s="5" t="n">
        <x:v>61</x:v>
      </x:c>
      <x:c r="C68" s="5" t="n">
        <x:v>59</x:v>
      </x:c>
      <x:c r="D68" s="5" t="str">
        <x:v>COMP-CR7-1; COMP-CR7-2; COMP-CR7-1-RE1</x:v>
      </x:c>
      <x:c r="E68" s="5" t="n">
        <x:v>3</x:v>
      </x:c>
      <x:c r="F68" s="5" t="str">
        <x:v>OCR extracted; requirement/table mapping reviewed</x:v>
      </x:c>
      <x:c r="G68" s="5" t="str">
        <x:v>Normativa/IEC 62443-4-2-2019.pdf</x:v>
      </x:c>
    </x:row>
    <x:row r="69" ht="38" customHeight="1">
      <x:c r="A69" s="5" t="str">
        <x:v>42</x:v>
      </x:c>
      <x:c r="B69" s="5" t="n">
        <x:v>62</x:v>
      </x:c>
      <x:c r="C69" s="5" t="n">
        <x:v>60</x:v>
      </x:c>
      <x:c r="D69" s="5" t="str">
        <x:v>COMP-CR7-3; COMP-CR7-4; COMP-CR7-3-RE1</x:v>
      </x:c>
      <x:c r="E69" s="5" t="n">
        <x:v>4</x:v>
      </x:c>
      <x:c r="F69" s="5" t="str">
        <x:v>OCR extracted; requirement/table mapping reviewed</x:v>
      </x:c>
      <x:c r="G69" s="5" t="str">
        <x:v>Normativa/IEC 62443-4-2-2019.pdf</x:v>
      </x:c>
    </x:row>
    <x:row r="70" ht="38" customHeight="1">
      <x:c r="A70" s="5" t="str">
        <x:v>42</x:v>
      </x:c>
      <x:c r="B70" s="5" t="n">
        <x:v>63</x:v>
      </x:c>
      <x:c r="C70" s="5" t="n">
        <x:v>61</x:v>
      </x:c>
      <x:c r="D70" s="5" t="str">
        <x:v>COMP-CR7-4; COMP-CR7-6; COMP-CR7-7; COMP-CR7-6-RE1</x:v>
      </x:c>
      <x:c r="E70" s="5" t="n">
        <x:v>4</x:v>
      </x:c>
      <x:c r="F70" s="5" t="str">
        <x:v>OCR extracted; requirement/table mapping reviewed</x:v>
      </x:c>
      <x:c r="G70" s="5" t="str">
        <x:v>Normativa/IEC 62443-4-2-2019.pdf</x:v>
      </x:c>
    </x:row>
    <x:row r="71" ht="38" customHeight="1">
      <x:c r="A71" s="5" t="str">
        <x:v>42</x:v>
      </x:c>
      <x:c r="B71" s="5" t="n">
        <x:v>64</x:v>
      </x:c>
      <x:c r="C71" s="5" t="n">
        <x:v>62</x:v>
      </x:c>
      <x:c r="D71" s="5" t="str">
        <x:v>COMP-CR7-7; COMP-CR7-8; COMP-SAR2-4; COMP-SAR2-4-RE1</x:v>
      </x:c>
      <x:c r="E71" s="5" t="n">
        <x:v>3</x:v>
      </x:c>
      <x:c r="F71" s="5" t="str">
        <x:v>OCR extracted; requirement/table mapping reviewed</x:v>
      </x:c>
      <x:c r="G71" s="5" t="str">
        <x:v>Normativa/IEC 62443-4-2-2019.pdf</x:v>
      </x:c>
    </x:row>
    <x:row r="72" ht="38" customHeight="1">
      <x:c r="A72" s="5" t="str">
        <x:v>42</x:v>
      </x:c>
      <x:c r="B72" s="5" t="n">
        <x:v>65</x:v>
      </x:c>
      <x:c r="C72" s="5" t="n">
        <x:v>63</x:v>
      </x:c>
      <x:c r="D72" s="5" t="str">
        <x:v>COMP-SAR2-4; COMP-SAR2-4-RE1; COMP-SAR3-2</x:v>
      </x:c>
      <x:c r="E72" s="5" t="n">
        <x:v>2</x:v>
      </x:c>
      <x:c r="F72" s="5" t="str">
        <x:v>OCR extracted; requirement/table mapping reviewed</x:v>
      </x:c>
      <x:c r="G72" s="5" t="str">
        <x:v>Normativa/IEC 62443-4-2-2019.pdf</x:v>
      </x:c>
    </x:row>
    <x:row r="73" ht="38" customHeight="1">
      <x:c r="A73" s="5" t="str">
        <x:v>42</x:v>
      </x:c>
      <x:c r="B73" s="5" t="n">
        <x:v>66</x:v>
      </x:c>
      <x:c r="C73" s="5" t="n">
        <x:v>64</x:v>
      </x:c>
      <x:c r="D73" s="5" t="str">
        <x:v>COMP-SAR3-2; COMP-EDR2-4; COMP-EDR2-4-RE1; COMP-EDR2-13; COMP-EDR2-13-RE1</x:v>
      </x:c>
      <x:c r="E73" s="5" t="n">
        <x:v>4</x:v>
      </x:c>
      <x:c r="F73" s="5" t="str">
        <x:v>OCR extracted; requirement/table mapping reviewed</x:v>
      </x:c>
      <x:c r="G73" s="5" t="str">
        <x:v>Normativa/IEC 62443-4-2-2019.pdf</x:v>
      </x:c>
    </x:row>
    <x:row r="74" ht="38" customHeight="1">
      <x:c r="A74" s="5" t="str">
        <x:v>42</x:v>
      </x:c>
      <x:c r="B74" s="5" t="n">
        <x:v>67</x:v>
      </x:c>
      <x:c r="C74" s="5" t="n">
        <x:v>65</x:v>
      </x:c>
      <x:c r="D74" s="5" t="str">
        <x:v>COMP-EDR2-13; COMP-EDR2-13-RE1; COMP-EDR3-2</x:v>
      </x:c>
      <x:c r="E74" s="5" t="n">
        <x:v>3</x:v>
      </x:c>
      <x:c r="F74" s="5" t="str">
        <x:v>OCR extracted; requirement/table mapping reviewed</x:v>
      </x:c>
      <x:c r="G74" s="5" t="str">
        <x:v>Normativa/IEC 62443-4-2-2019.pdf</x:v>
      </x:c>
    </x:row>
    <x:row r="75" ht="38" customHeight="1">
      <x:c r="A75" s="5" t="str">
        <x:v>42</x:v>
      </x:c>
      <x:c r="B75" s="5" t="n">
        <x:v>68</x:v>
      </x:c>
      <x:c r="C75" s="5" t="n">
        <x:v>66</x:v>
      </x:c>
      <x:c r="D75" s="5" t="str">
        <x:v>COMP-EDR3-2; COMP-EDR3-10; COMP-EDR3-10-RE1; COMP-EDR3-11; COMP-EDR3-11-RE1</x:v>
      </x:c>
      <x:c r="E75" s="5" t="n">
        <x:v>3</x:v>
      </x:c>
      <x:c r="F75" s="5" t="str">
        <x:v>OCR extracted; requirement/table mapping reviewed</x:v>
      </x:c>
      <x:c r="G75" s="5" t="str">
        <x:v>Normativa/IEC 62443-4-2-2019.pdf</x:v>
      </x:c>
    </x:row>
    <x:row r="76" ht="38" customHeight="1">
      <x:c r="A76" s="5" t="str">
        <x:v>42</x:v>
      </x:c>
      <x:c r="B76" s="5" t="n">
        <x:v>69</x:v>
      </x:c>
      <x:c r="C76" s="5" t="n">
        <x:v>67</x:v>
      </x:c>
      <x:c r="D76" s="5" t="str">
        <x:v>COMP-EDR3-11; COMP-EDR3-11-RE1; COMP-EDR3-12</x:v>
      </x:c>
      <x:c r="E76" s="5" t="n">
        <x:v>3</x:v>
      </x:c>
      <x:c r="F76" s="5" t="str">
        <x:v>OCR extracted; requirement/table mapping reviewed</x:v>
      </x:c>
      <x:c r="G76" s="5" t="str">
        <x:v>Normativa/IEC 62443-4-2-2019.pdf</x:v>
      </x:c>
    </x:row>
    <x:row r="77" ht="38" customHeight="1">
      <x:c r="A77" s="5" t="str">
        <x:v>42</x:v>
      </x:c>
      <x:c r="B77" s="5" t="n">
        <x:v>70</x:v>
      </x:c>
      <x:c r="C77" s="5" t="n">
        <x:v>68</x:v>
      </x:c>
      <x:c r="D77" s="5" t="str">
        <x:v>COMP-EDR3-12; COMP-EDR3-13</x:v>
      </x:c>
      <x:c r="E77" s="5" t="n">
        <x:v>1</x:v>
      </x:c>
      <x:c r="F77" s="5" t="str">
        <x:v>OCR extracted; requirement/table mapping reviewed</x:v>
      </x:c>
      <x:c r="G77" s="5" t="str">
        <x:v>Normativa/IEC 62443-4-2-2019.pdf</x:v>
      </x:c>
    </x:row>
    <x:row r="78" ht="38" customHeight="1">
      <x:c r="A78" s="5" t="str">
        <x:v>42</x:v>
      </x:c>
      <x:c r="B78" s="5" t="n">
        <x:v>71</x:v>
      </x:c>
      <x:c r="C78" s="5" t="n">
        <x:v>69</x:v>
      </x:c>
      <x:c r="D78" s="5" t="str">
        <x:v>COMP-EDR3-13; COMP-EDR3-14; COMP-EDR3-14-RE1; COMP-HDR2-4; COMP-HDR2-4-RE1</x:v>
      </x:c>
      <x:c r="E78" s="5" t="n">
        <x:v>4</x:v>
      </x:c>
      <x:c r="F78" s="5" t="str">
        <x:v>OCR extracted; requirement/table mapping reviewed</x:v>
      </x:c>
      <x:c r="G78" s="5" t="str">
        <x:v>Normativa/IEC 62443-4-2-2019.pdf</x:v>
      </x:c>
    </x:row>
    <x:row r="79" ht="38" customHeight="1">
      <x:c r="A79" s="5" t="str">
        <x:v>42</x:v>
      </x:c>
      <x:c r="B79" s="5" t="n">
        <x:v>72</x:v>
      </x:c>
      <x:c r="C79" s="5" t="n">
        <x:v>70</x:v>
      </x:c>
      <x:c r="D79" s="5" t="str">
        <x:v>COMP-HDR2-4; COMP-HDR2-4-RE1; COMP-HDR2-13; COMP-HDR2-13-RE1</x:v>
      </x:c>
      <x:c r="E79" s="5" t="n">
        <x:v>3</x:v>
      </x:c>
      <x:c r="F79" s="5" t="str">
        <x:v>OCR extracted; requirement/table mapping reviewed</x:v>
      </x:c>
      <x:c r="G79" s="5" t="str">
        <x:v>Normativa/IEC 62443-4-2-2019.pdf</x:v>
      </x:c>
    </x:row>
    <x:row r="80" ht="38" customHeight="1">
      <x:c r="A80" s="5" t="str">
        <x:v>42</x:v>
      </x:c>
      <x:c r="B80" s="5" t="n">
        <x:v>73</x:v>
      </x:c>
      <x:c r="C80" s="5" t="n">
        <x:v>71</x:v>
      </x:c>
      <x:c r="D80" s="5" t="str">
        <x:v>COMP-HDR2-13; COMP-HDR2-13-RE1; COMP-HDR3-2; COMP-HDR3-2-RE1; COMP-HDR3-10; COMP-HDR3-10-RE1</x:v>
      </x:c>
      <x:c r="E80" s="5" t="n">
        <x:v>5</x:v>
      </x:c>
      <x:c r="F80" s="5" t="str">
        <x:v>OCR extracted; requirement/table mapping reviewed</x:v>
      </x:c>
      <x:c r="G80" s="5" t="str">
        <x:v>Normativa/IEC 62443-4-2-2019.pdf</x:v>
      </x:c>
    </x:row>
    <x:row r="81" ht="38" customHeight="1">
      <x:c r="A81" s="5" t="str">
        <x:v>42</x:v>
      </x:c>
      <x:c r="B81" s="5" t="n">
        <x:v>74</x:v>
      </x:c>
      <x:c r="C81" s="5" t="n">
        <x:v>72</x:v>
      </x:c>
      <x:c r="D81" s="5" t="str">
        <x:v>COMP-HDR3-10; COMP-HDR3-10-RE1; COMP-HDR3-11; COMP-HDR3-11-RE1</x:v>
      </x:c>
      <x:c r="E81" s="5" t="n">
        <x:v>4</x:v>
      </x:c>
      <x:c r="F81" s="5" t="str">
        <x:v>OCR extracted; requirement/table mapping reviewed</x:v>
      </x:c>
      <x:c r="G81" s="5" t="str">
        <x:v>Normativa/IEC 62443-4-2-2019.pdf</x:v>
      </x:c>
    </x:row>
    <x:row r="82" ht="38" customHeight="1">
      <x:c r="A82" s="5" t="str">
        <x:v>42</x:v>
      </x:c>
      <x:c r="B82" s="5" t="n">
        <x:v>75</x:v>
      </x:c>
      <x:c r="C82" s="5" t="n">
        <x:v>73</x:v>
      </x:c>
      <x:c r="D82" s="5" t="str">
        <x:v>COMP-HDR3-12; COMP-HDR3-13</x:v>
      </x:c>
      <x:c r="E82" s="5" t="n">
        <x:v>2</x:v>
      </x:c>
      <x:c r="F82" s="5" t="str">
        <x:v>OCR extracted; requirement/table mapping reviewed</x:v>
      </x:c>
      <x:c r="G82" s="5" t="str">
        <x:v>Normativa/IEC 62443-4-2-2019.pdf</x:v>
      </x:c>
    </x:row>
    <x:row r="83" ht="38" customHeight="1">
      <x:c r="A83" s="5" t="str">
        <x:v>42</x:v>
      </x:c>
      <x:c r="B83" s="5" t="n">
        <x:v>76</x:v>
      </x:c>
      <x:c r="C83" s="5" t="n">
        <x:v>74</x:v>
      </x:c>
      <x:c r="D83" s="5" t="str">
        <x:v>COMP-HDR3-13; COMP-HDR3-14; COMP-HDR3-14-RE1</x:v>
      </x:c>
      <x:c r="E83" s="5" t="n">
        <x:v>1</x:v>
      </x:c>
      <x:c r="F83" s="5" t="str">
        <x:v>OCR extracted; requirement/table mapping reviewed</x:v>
      </x:c>
      <x:c r="G83" s="5" t="str">
        <x:v>Normativa/IEC 62443-4-2-2019.pdf</x:v>
      </x:c>
    </x:row>
    <x:row r="84" ht="38" customHeight="1">
      <x:c r="A84" s="5" t="str">
        <x:v>42</x:v>
      </x:c>
      <x:c r="B84" s="5" t="n">
        <x:v>77</x:v>
      </x:c>
      <x:c r="C84" s="5" t="n">
        <x:v>75</x:v>
      </x:c>
      <x:c r="D84" s="5" t="str">
        <x:v>COMP-HDR3-14; COMP-HDR3-14-RE1; COMP-NDR1-6; COMP-NDR1-6-RE1; COMP-NDR1-13; COMP-NDR1-13-RE1</x:v>
      </x:c>
      <x:c r="E84" s="5" t="n">
        <x:v>4</x:v>
      </x:c>
      <x:c r="F84" s="5" t="str">
        <x:v>OCR extracted; requirement/table mapping reviewed</x:v>
      </x:c>
      <x:c r="G84" s="5" t="str">
        <x:v>Normativa/IEC 62443-4-2-2019.pdf</x:v>
      </x:c>
    </x:row>
    <x:row r="85" ht="38" customHeight="1">
      <x:c r="A85" s="5" t="str">
        <x:v>42</x:v>
      </x:c>
      <x:c r="B85" s="5" t="n">
        <x:v>78</x:v>
      </x:c>
      <x:c r="C85" s="5" t="n">
        <x:v>76</x:v>
      </x:c>
      <x:c r="D85" s="5" t="str">
        <x:v>COMP-NDR1-13; COMP-NDR1-13-RE1; COMP-NDR2-4; COMP-NDR2-4-RE1</x:v>
      </x:c>
      <x:c r="E85" s="5" t="n">
        <x:v>3</x:v>
      </x:c>
      <x:c r="F85" s="5" t="str">
        <x:v>OCR extracted; requirement/table mapping reviewed</x:v>
      </x:c>
      <x:c r="G85" s="5" t="str">
        <x:v>Normativa/IEC 62443-4-2-2019.pdf</x:v>
      </x:c>
    </x:row>
    <x:row r="86" ht="38" customHeight="1">
      <x:c r="A86" s="5" t="str">
        <x:v>42</x:v>
      </x:c>
      <x:c r="B86" s="5" t="n">
        <x:v>79</x:v>
      </x:c>
      <x:c r="C86" s="5" t="n">
        <x:v>77</x:v>
      </x:c>
      <x:c r="D86" s="5" t="str">
        <x:v>COMP-NDR2-4; COMP-NDR2-4-RE1; COMP-NDR2-13; COMP-NDR2-13-RE1</x:v>
      </x:c>
      <x:c r="E86" s="5" t="n">
        <x:v>3</x:v>
      </x:c>
      <x:c r="F86" s="5" t="str">
        <x:v>OCR extracted; requirement/table mapping reviewed</x:v>
      </x:c>
      <x:c r="G86" s="5" t="str">
        <x:v>Normativa/IEC 62443-4-2-2019.pdf</x:v>
      </x:c>
    </x:row>
    <x:row r="87" ht="38" customHeight="1">
      <x:c r="A87" s="5" t="str">
        <x:v>42</x:v>
      </x:c>
      <x:c r="B87" s="5" t="n">
        <x:v>80</x:v>
      </x:c>
      <x:c r="C87" s="5" t="n">
        <x:v>78</x:v>
      </x:c>
      <x:c r="D87" s="5" t="str">
        <x:v>COMP-NDR2-13; COMP-NDR2-13-RE1; COMP-NDR3-2; COMP-NDR3-10; COMP-NDR3-10-RE1</x:v>
      </x:c>
      <x:c r="E87" s="5" t="n">
        <x:v>3</x:v>
      </x:c>
      <x:c r="F87" s="5" t="str">
        <x:v>OCR extracted; requirement/table mapping reviewed</x:v>
      </x:c>
      <x:c r="G87" s="5" t="str">
        <x:v>Normativa/IEC 62443-4-2-2019.pdf</x:v>
      </x:c>
    </x:row>
    <x:row r="88" ht="38" customHeight="1">
      <x:c r="A88" s="5" t="str">
        <x:v>42</x:v>
      </x:c>
      <x:c r="B88" s="5" t="n">
        <x:v>81</x:v>
      </x:c>
      <x:c r="C88" s="5" t="n">
        <x:v>79</x:v>
      </x:c>
      <x:c r="D88" s="5" t="str">
        <x:v>COMP-NDR3-10; COMP-NDR3-10-RE1; COMP-NDR3-11; COMP-NDR3-11-RE1; COMP-NDR3-12</x:v>
      </x:c>
      <x:c r="E88" s="5" t="n">
        <x:v>4</x:v>
      </x:c>
      <x:c r="F88" s="5" t="str">
        <x:v>OCR extracted; requirement/table mapping reviewed</x:v>
      </x:c>
      <x:c r="G88" s="5" t="str">
        <x:v>Normativa/IEC 62443-4-2-2019.pdf</x:v>
      </x:c>
    </x:row>
    <x:row r="89" ht="38" customHeight="1">
      <x:c r="A89" s="5" t="str">
        <x:v>42</x:v>
      </x:c>
      <x:c r="B89" s="5" t="n">
        <x:v>82</x:v>
      </x:c>
      <x:c r="C89" s="5" t="n">
        <x:v>80</x:v>
      </x:c>
      <x:c r="D89" s="5" t="str">
        <x:v>COMP-NDR3-12; COMP-NDR3-13</x:v>
      </x:c>
      <x:c r="E89" s="5" t="n">
        <x:v>1</x:v>
      </x:c>
      <x:c r="F89" s="5" t="str">
        <x:v>OCR extracted; requirement/table mapping reviewed</x:v>
      </x:c>
      <x:c r="G89" s="5" t="str">
        <x:v>Normativa/IEC 62443-4-2-2019.pdf</x:v>
      </x:c>
    </x:row>
    <x:row r="90" ht="38" customHeight="1">
      <x:c r="A90" s="5" t="str">
        <x:v>42</x:v>
      </x:c>
      <x:c r="B90" s="5" t="n">
        <x:v>83</x:v>
      </x:c>
      <x:c r="C90" s="5" t="n">
        <x:v>81</x:v>
      </x:c>
      <x:c r="D90" s="5" t="str">
        <x:v>COMP-NDR3-13; COMP-NDR3-14; COMP-NDR3-14-RE1</x:v>
      </x:c>
      <x:c r="E90" s="5" t="n">
        <x:v>2</x:v>
      </x:c>
      <x:c r="F90" s="5" t="str">
        <x:v>OCR extracted; requirement/table mapping reviewed</x:v>
      </x:c>
      <x:c r="G90" s="5" t="str">
        <x:v>Normativa/IEC 62443-4-2-2019.pdf</x:v>
      </x:c>
    </x:row>
    <x:row r="91" ht="38" customHeight="1">
      <x:c r="A91" s="5" t="str">
        <x:v>42</x:v>
      </x:c>
      <x:c r="B91" s="5" t="n">
        <x:v>84</x:v>
      </x:c>
      <x:c r="C91" s="5" t="n">
        <x:v>82</x:v>
      </x:c>
      <x:c r="D91" s="5" t="str">
        <x:v>COMP-NDR3-14; COMP-NDR3-14-RE1; COMP-NDR5-2; COMP-NDR5-2-RE1; COMP-NDR5-2-RE2; COMP-NDR5-2-RE3</x:v>
      </x:c>
      <x:c r="E91" s="5" t="n">
        <x:v>4</x:v>
      </x:c>
      <x:c r="F91" s="5" t="str">
        <x:v>OCR extracted; requirement/table mapping reviewed</x:v>
      </x:c>
      <x:c r="G91" s="5" t="str">
        <x:v>Normativa/IEC 62443-4-2-2019.pdf</x:v>
      </x:c>
    </x:row>
    <x:row r="92" ht="38" customHeight="1">
      <x:c r="A92" s="5" t="str">
        <x:v>42</x:v>
      </x:c>
      <x:c r="B92" s="5" t="n">
        <x:v>85</x:v>
      </x:c>
      <x:c r="C92" s="5" t="n">
        <x:v>83</x:v>
      </x:c>
      <x:c r="D92" s="5" t="str">
        <x:v>COMP-NDR5-3</x:v>
      </x:c>
      <x:c r="E92" s="5" t="n">
        <x:v>1</x:v>
      </x:c>
      <x:c r="F92" s="5" t="str">
        <x:v>OCR extracted; requirement/table mapping reviewed</x:v>
      </x:c>
      <x:c r="G92" s="5" t="str">
        <x:v>Normativa/IEC 62443-4-2-2019.pdf</x:v>
      </x:c>
    </x:row>
    <x:row r="93" ht="38" customHeight="1">
      <x:c r="A93" s="5" t="str">
        <x:v>3513</x:v>
      </x:c>
      <x:c r="B93" s="5" t="n">
        <x:v>23</x:v>
      </x:c>
      <x:c r="C93" s="5" t="n">
        <x:v>15</x:v>
      </x:c>
      <x:c r="D93" s="5" t="str">
        <x:v>TLS-GEN-01; TLS-GEN-02; TLS-VER-01; TLS-VER-02; TLS-VER-03; TLS-OPT-13-ENABLE</x:v>
      </x:c>
      <x:c r="E93" s="5" t="n">
        <x:v>8</x:v>
      </x:c>
      <x:c r="F93" s="5" t="str">
        <x:v>OCR extracted; requirement/table mapping reviewed</x:v>
      </x:c>
      <x:c r="G93" s="5" t="str">
        <x:v>Normativa/EN IEC 62351-3-2023.pdf</x:v>
      </x:c>
    </x:row>
    <x:row r="94" ht="38" customHeight="1">
      <x:c r="A94" s="5" t="str">
        <x:v>3513</x:v>
      </x:c>
      <x:c r="B94" s="5" t="n">
        <x:v>24</x:v>
      </x:c>
      <x:c r="C94" s="5" t="n">
        <x:v>16</x:v>
      </x:c>
      <x:c r="D94" s="5" t="str">
        <x:v>TLS-VER-04; TLS-VER-05; TLS-VER-06; TLS-NULL-01; TLS-NULL-02</x:v>
      </x:c>
      <x:c r="E94" s="5" t="n">
        <x:v>12</x:v>
      </x:c>
      <x:c r="F94" s="5" t="str">
        <x:v>OCR extracted; requirement/table mapping reviewed</x:v>
      </x:c>
      <x:c r="G94" s="5" t="str">
        <x:v>Normativa/EN IEC 62351-3-2023.pdf</x:v>
      </x:c>
    </x:row>
    <x:row r="95" ht="38" customHeight="1">
      <x:c r="A95" s="5" t="str">
        <x:v>3513</x:v>
      </x:c>
      <x:c r="B95" s="5" t="n">
        <x:v>25</x:v>
      </x:c>
      <x:c r="C95" s="5" t="n">
        <x:v>17</x:v>
      </x:c>
      <x:c r="D95" s="5" t="str">
        <x:v>TLS-CERT-01; TLS-CERT-02; TLS-CERT-03</x:v>
      </x:c>
      <x:c r="E95" s="5" t="n">
        <x:v>8</x:v>
      </x:c>
      <x:c r="F95" s="5" t="str">
        <x:v>OCR extracted; requirement/table mapping reviewed</x:v>
      </x:c>
      <x:c r="G95" s="5" t="str">
        <x:v>Normativa/EN IEC 62351-3-2023.pdf</x:v>
      </x:c>
    </x:row>
    <x:row r="96" ht="38" customHeight="1">
      <x:c r="A96" s="5" t="str">
        <x:v>3513</x:v>
      </x:c>
      <x:c r="B96" s="5" t="n">
        <x:v>26</x:v>
      </x:c>
      <x:c r="C96" s="5" t="n">
        <x:v>18</x:v>
      </x:c>
      <x:c r="D96" s="5" t="str">
        <x:v>TLS-CERT-04; TLS-CERT-05; TLS-CERT-06; TLS-REV-01</x:v>
      </x:c>
      <x:c r="E96" s="5" t="n">
        <x:v>8</x:v>
      </x:c>
      <x:c r="F96" s="5" t="str">
        <x:v>OCR extracted; requirement/table mapping reviewed</x:v>
      </x:c>
      <x:c r="G96" s="5" t="str">
        <x:v>Normativa/EN IEC 62351-3-2023.pdf</x:v>
      </x:c>
    </x:row>
    <x:row r="97" ht="38" customHeight="1">
      <x:c r="A97" s="5" t="str">
        <x:v>3513</x:v>
      </x:c>
      <x:c r="B97" s="5" t="n">
        <x:v>27</x:v>
      </x:c>
      <x:c r="C97" s="5" t="n">
        <x:v>19</x:v>
      </x:c>
      <x:c r="D97" s="5" t="str">
        <x:v>TLS-REV-01; TLS-REV-02; TLS-REV-03; TLS-REV-04; TLS-OPT-CRL-REFRESH</x:v>
      </x:c>
      <x:c r="E97" s="5" t="n">
        <x:v>9</x:v>
      </x:c>
      <x:c r="F97" s="5" t="str">
        <x:v>OCR extracted; requirement/table mapping reviewed</x:v>
      </x:c>
      <x:c r="G97" s="5" t="str">
        <x:v>Normativa/EN IEC 62351-3-2023.pdf</x:v>
      </x:c>
    </x:row>
    <x:row r="98" ht="38" customHeight="1">
      <x:c r="A98" s="5" t="str">
        <x:v>3513</x:v>
      </x:c>
      <x:c r="B98" s="5" t="n">
        <x:v>28</x:v>
      </x:c>
      <x:c r="C98" s="5" t="n">
        <x:v>20</x:v>
      </x:c>
      <x:c r="D98" s="5" t="str">
        <x:v>TLS-REV-04; TLS-REV-05; TLS-REV-06; TLS-CERT-07; TLS-OPT-OCSP-QUERY</x:v>
      </x:c>
      <x:c r="E98" s="5" t="n">
        <x:v>10</x:v>
      </x:c>
      <x:c r="F98" s="5" t="str">
        <x:v>OCR extracted; requirement/table mapping reviewed</x:v>
      </x:c>
      <x:c r="G98" s="5" t="str">
        <x:v>Normativa/EN IEC 62351-3-2023.pdf</x:v>
      </x:c>
    </x:row>
    <x:row r="99" ht="38" customHeight="1">
      <x:c r="A99" s="5" t="str">
        <x:v>3513</x:v>
      </x:c>
      <x:c r="B99" s="5" t="n">
        <x:v>29</x:v>
      </x:c>
      <x:c r="C99" s="5" t="n">
        <x:v>21</x:v>
      </x:c>
      <x:c r="D99" s="5" t="str">
        <x:v>TLS-CERT-08; TLS-12-SUITE-0x003B; TLS-12-SUITE-0x003C; TLS-12-SUITE-0x009E; TLS-12-SUITE-0x009F; TLS-12-SUITE-0xC02F; TLS-12-SUITE-0xC030; TLS-12-SUITE-0xC02B; TLS-12-SUITE-0xC02C</x:v>
      </x:c>
      <x:c r="E99" s="5" t="n">
        <x:v>4</x:v>
      </x:c>
      <x:c r="F99" s="5" t="str">
        <x:v>OCR extracted; requirement/table mapping reviewed</x:v>
      </x:c>
      <x:c r="G99" s="5" t="str">
        <x:v>Normativa/EN IEC 62351-3-2023.pdf</x:v>
      </x:c>
    </x:row>
    <x:row r="100" ht="38" customHeight="1">
      <x:c r="A100" s="5" t="str">
        <x:v>3513</x:v>
      </x:c>
      <x:c r="B100" s="5" t="n">
        <x:v>30</x:v>
      </x:c>
      <x:c r="C100" s="5" t="n">
        <x:v>22</x:v>
      </x:c>
      <x:c r="D100" s="5" t="str">
        <x:v>TLS-12-DISALLOWED; TLS-12-KEX; TLS-12-ALG-01</x:v>
      </x:c>
      <x:c r="E100" s="5" t="n">
        <x:v>6</x:v>
      </x:c>
      <x:c r="F100" s="5" t="str">
        <x:v>OCR extracted; requirement/table mapping reviewed</x:v>
      </x:c>
      <x:c r="G100" s="5" t="str">
        <x:v>Normativa/EN IEC 62351-3-2023.pdf</x:v>
      </x:c>
    </x:row>
    <x:row r="101" ht="38" customHeight="1">
      <x:c r="A101" s="5" t="str">
        <x:v>3513</x:v>
      </x:c>
      <x:c r="B101" s="5" t="n">
        <x:v>31</x:v>
      </x:c>
      <x:c r="C101" s="5" t="n">
        <x:v>23</x:v>
      </x:c>
      <x:c r="D101" s="5" t="str">
        <x:v>TLS-12-ALG-01; TLS-12-ALG-02; TLS-12-ALG-03; TLS-12-ALG-04</x:v>
      </x:c>
      <x:c r="E101" s="5" t="n">
        <x:v>11</x:v>
      </x:c>
      <x:c r="F101" s="5" t="str">
        <x:v>OCR extracted; requirement/table mapping reviewed</x:v>
      </x:c>
      <x:c r="G101" s="5" t="str">
        <x:v>Normativa/EN IEC 62351-3-2023.pdf</x:v>
      </x:c>
    </x:row>
    <x:row r="102" ht="38" customHeight="1">
      <x:c r="A102" s="5" t="str">
        <x:v>3513</x:v>
      </x:c>
      <x:c r="B102" s="5" t="n">
        <x:v>32</x:v>
      </x:c>
      <x:c r="C102" s="5" t="n">
        <x:v>24</x:v>
      </x:c>
      <x:c r="D102" s="5" t="str">
        <x:v>TLS-12-ALG-01; TLS-12-ALG-04; TLS-12-RES-01; TLS-12-RES-02; TLS-OPT-TIMER-DEFAULTS</x:v>
      </x:c>
      <x:c r="E102" s="5" t="n">
        <x:v>8</x:v>
      </x:c>
      <x:c r="F102" s="5" t="str">
        <x:v>OCR extracted; requirement/table mapping reviewed</x:v>
      </x:c>
      <x:c r="G102" s="5" t="str">
        <x:v>Normativa/EN IEC 62351-3-2023.pdf</x:v>
      </x:c>
    </x:row>
    <x:row r="103" ht="38" customHeight="1">
      <x:c r="A103" s="5" t="str">
        <x:v>3513</x:v>
      </x:c>
      <x:c r="B103" s="5" t="n">
        <x:v>33</x:v>
      </x:c>
      <x:c r="C103" s="5" t="n">
        <x:v>25</x:v>
      </x:c>
      <x:c r="D103" s="5" t="str">
        <x:v>TLS-12-RES-03; TLS-12-RES-04; TLS-12-REN-01; TLS-OPT-TIMER-DEFAULTS</x:v>
      </x:c>
      <x:c r="E103" s="5" t="n">
        <x:v>12</x:v>
      </x:c>
      <x:c r="F103" s="5" t="str">
        <x:v>OCR extracted; requirement/table mapping reviewed</x:v>
      </x:c>
      <x:c r="G103" s="5" t="str">
        <x:v>Normativa/EN IEC 62351-3-2023.pdf</x:v>
      </x:c>
    </x:row>
    <x:row r="104" ht="38" customHeight="1">
      <x:c r="A104" s="5" t="str">
        <x:v>3513</x:v>
      </x:c>
      <x:c r="B104" s="5" t="n">
        <x:v>34</x:v>
      </x:c>
      <x:c r="C104" s="5" t="n">
        <x:v>26</x:v>
      </x:c>
      <x:c r="D104" s="5" t="str">
        <x:v>TLS-12-REN-02; TLS-12-EXT-01</x:v>
      </x:c>
      <x:c r="E104" s="5" t="n">
        <x:v>7</x:v>
      </x:c>
      <x:c r="F104" s="5" t="str">
        <x:v>OCR extracted; requirement/table mapping reviewed</x:v>
      </x:c>
      <x:c r="G104" s="5" t="str">
        <x:v>Normativa/EN IEC 62351-3-2023.pdf</x:v>
      </x:c>
    </x:row>
    <x:row r="105" ht="38" customHeight="1">
      <x:c r="A105" s="5" t="str">
        <x:v>3513</x:v>
      </x:c>
      <x:c r="B105" s="5" t="n">
        <x:v>35</x:v>
      </x:c>
      <x:c r="C105" s="5" t="n">
        <x:v>27</x:v>
      </x:c>
      <x:c r="D105" s="5" t="str">
        <x:v>TLS-12-ALG-04; TLS-12-RES-04; TLS-12-EXT-01; TLS-12-EXT-02; TLS-12-EXT-03; TLS-OPT-TRUSTED-CA</x:v>
      </x:c>
      <x:c r="E105" s="5" t="n">
        <x:v>8</x:v>
      </x:c>
      <x:c r="F105" s="5" t="str">
        <x:v>OCR extracted; requirement/table mapping reviewed</x:v>
      </x:c>
      <x:c r="G105" s="5" t="str">
        <x:v>Normativa/EN IEC 62351-3-2023.pdf</x:v>
      </x:c>
    </x:row>
    <x:row r="106" ht="38" customHeight="1">
      <x:c r="A106" s="5" t="str">
        <x:v>3513</x:v>
      </x:c>
      <x:c r="B106" s="5" t="n">
        <x:v>36</x:v>
      </x:c>
      <x:c r="C106" s="5" t="n">
        <x:v>28</x:v>
      </x:c>
      <x:c r="D106" s="5" t="str">
        <x:v>TLS-12-ALG-04; TLS-12-EXT-03; TLS-12-EXT-04</x:v>
      </x:c>
      <x:c r="E106" s="5" t="n">
        <x:v>6</x:v>
      </x:c>
      <x:c r="F106" s="5" t="str">
        <x:v>OCR extracted; requirement/table mapping reviewed</x:v>
      </x:c>
      <x:c r="G106" s="5" t="str">
        <x:v>Normativa/EN IEC 62351-3-2023.pdf</x:v>
      </x:c>
    </x:row>
    <x:row r="107" ht="38" customHeight="1">
      <x:c r="A107" s="5" t="str">
        <x:v>3513</x:v>
      </x:c>
      <x:c r="B107" s="5" t="n">
        <x:v>37</x:v>
      </x:c>
      <x:c r="C107" s="5" t="n">
        <x:v>29</x:v>
      </x:c>
      <x:c r="D107" s="5" t="str">
        <x:v>TLS-12-EXT-05; TLS-12-EXT-06; TLS-OPT-SNI12</x:v>
      </x:c>
      <x:c r="E107" s="5" t="n">
        <x:v>3</x:v>
      </x:c>
      <x:c r="F107" s="5" t="str">
        <x:v>OCR extracted; requirement/table mapping reviewed</x:v>
      </x:c>
      <x:c r="G107" s="5" t="str">
        <x:v>Normativa/EN IEC 62351-3-2023.pdf</x:v>
      </x:c>
    </x:row>
    <x:row r="108" ht="38" customHeight="1">
      <x:c r="A108" s="5" t="str">
        <x:v>3513</x:v>
      </x:c>
      <x:c r="B108" s="5" t="n">
        <x:v>38</x:v>
      </x:c>
      <x:c r="C108" s="5" t="n">
        <x:v>30</x:v>
      </x:c>
      <x:c r="D108" s="5" t="str">
        <x:v>TLS-13-POLICY; TLS-13-HS-01; TLS-13-SUITE-0x1301; TLS-13-SUITE-0x1302; TLS-13-SUITE-0x1303; TLS-13-SUITE-0x1304; TLS-13-SUITE-0x1305; TLS-13-SUITE-0xC0B4; TLS-13-SUITE-0xC0B5</x:v>
      </x:c>
      <x:c r="E108" s="5" t="n">
        <x:v>4</x:v>
      </x:c>
      <x:c r="F108" s="5" t="str">
        <x:v>OCR extracted; requirement/table mapping reviewed</x:v>
      </x:c>
      <x:c r="G108" s="5" t="str">
        <x:v>Normativa/EN IEC 62351-3-2023.pdf</x:v>
      </x:c>
    </x:row>
    <x:row r="109" ht="38" customHeight="1">
      <x:c r="A109" s="5" t="str">
        <x:v>3513</x:v>
      </x:c>
      <x:c r="B109" s="5" t="n">
        <x:v>39</x:v>
      </x:c>
      <x:c r="C109" s="5" t="n">
        <x:v>31</x:v>
      </x:c>
      <x:c r="D109" s="5" t="str">
        <x:v>TLS-13-HS-01; TLS-13-HS-02</x:v>
      </x:c>
      <x:c r="E109" s="5" t="n">
        <x:v>4</x:v>
      </x:c>
      <x:c r="F109" s="5" t="str">
        <x:v>OCR extracted; requirement/table mapping reviewed</x:v>
      </x:c>
      <x:c r="G109" s="5" t="str">
        <x:v>Normativa/EN IEC 62351-3-2023.pdf</x:v>
      </x:c>
    </x:row>
    <x:row r="110" ht="38" customHeight="1">
      <x:c r="A110" s="5" t="str">
        <x:v>3513</x:v>
      </x:c>
      <x:c r="B110" s="5" t="n">
        <x:v>40</x:v>
      </x:c>
      <x:c r="C110" s="5" t="n">
        <x:v>32</x:v>
      </x:c>
      <x:c r="D110" s="5" t="str">
        <x:v>TLS-13-GROUP-23; TLS-13-GROUP-24; TLS-13-GROUP-31; TLS-13-GROUP-32; TLS-13-GROUP-33; TLS-13-GROUP-256; TLS-13-GROUP-257; TLS-13-GROUP-258; TLS-13-handshake-0x0804; TLS-13-handshake-0x0805; TLS-13-handshake-0x0806; TLS-13-handshake-0x0809; TLS-13-handshake-0x080A; TLS-13-handshake-0x080B; TLS-13-handshake-0x0403; TLS-13-handshake-0x0503; TLS-13-handshake-0x081A; TLS-13-handshake-0x081B; TLS-13-handshake-0x081C</x:v>
      </x:c>
      <x:c r="E110" s="5" t="n">
        <x:v>3</x:v>
      </x:c>
      <x:c r="F110" s="5" t="str">
        <x:v>OCR extracted; requirement/table mapping reviewed</x:v>
      </x:c>
      <x:c r="G110" s="5" t="str">
        <x:v>Normativa/EN IEC 62351-3-2023.pdf</x:v>
      </x:c>
    </x:row>
    <x:row r="111" ht="38" customHeight="1">
      <x:c r="A111" s="5" t="str">
        <x:v>3513</x:v>
      </x:c>
      <x:c r="B111" s="5" t="n">
        <x:v>41</x:v>
      </x:c>
      <x:c r="C111" s="5" t="n">
        <x:v>33</x:v>
      </x:c>
      <x:c r="D111" s="5" t="str">
        <x:v>TLS-13-KEY-01; TLS-13-certificate-0x0401; TLS-13-certificate-0x0501; TLS-13-certificate-0x0601; TLS-13-certificate-0x0804; TLS-13-certificate-0x0805; TLS-13-certificate-0x0806; TLS-13-certificate-0x0809; TLS-13-certificate-0x080A; TLS-13-certificate-0x080B; TLS-13-certificate-0x0403; TLS-13-certificate-0x0503; TLS-13-certificate-0x081A; TLS-13-certificate-0x081B; TLS-13-certificate-0x081C; TLS-OPT-TIMER-DEFAULTS</x:v>
      </x:c>
      <x:c r="E111" s="5" t="n">
        <x:v>7</x:v>
      </x:c>
      <x:c r="F111" s="5" t="str">
        <x:v>OCR extracted; requirement/table mapping reviewed</x:v>
      </x:c>
      <x:c r="G111" s="5" t="str">
        <x:v>Normativa/EN IEC 62351-3-2023.pdf</x:v>
      </x:c>
    </x:row>
    <x:row r="112" ht="38" customHeight="1">
      <x:c r="A112" s="5" t="str">
        <x:v>3513</x:v>
      </x:c>
      <x:c r="B112" s="5" t="n">
        <x:v>42</x:v>
      </x:c>
      <x:c r="C112" s="5" t="n">
        <x:v>34</x:v>
      </x:c>
      <x:c r="D112" s="5" t="str">
        <x:v>TLS-13-TICKET-01; TLS-13-CERT-01</x:v>
      </x:c>
      <x:c r="E112" s="5" t="n">
        <x:v>7</x:v>
      </x:c>
      <x:c r="F112" s="5" t="str">
        <x:v>OCR extracted; requirement/table mapping reviewed</x:v>
      </x:c>
      <x:c r="G112" s="5" t="str">
        <x:v>Normativa/EN IEC 62351-3-2023.pdf</x:v>
      </x:c>
    </x:row>
    <x:row r="113" ht="38" customHeight="1">
      <x:c r="A113" s="5" t="str">
        <x:v>3513</x:v>
      </x:c>
      <x:c r="B113" s="5" t="n">
        <x:v>43</x:v>
      </x:c>
      <x:c r="C113" s="5" t="n">
        <x:v>35</x:v>
      </x:c>
      <x:c r="D113" s="5" t="str">
        <x:v>TLS-13-EXT-01; TLS-13-EXT-02; TLS-OPT-COOKIE13</x:v>
      </x:c>
      <x:c r="E113" s="5" t="n">
        <x:v>3</x:v>
      </x:c>
      <x:c r="F113" s="5" t="str">
        <x:v>OCR extracted; requirement/table mapping reviewed</x:v>
      </x:c>
      <x:c r="G113" s="5" t="str">
        <x:v>Normativa/EN IEC 62351-3-2023.pdf</x:v>
      </x:c>
    </x:row>
    <x:row r="114" ht="38" customHeight="1">
      <x:c r="A114" s="5" t="str">
        <x:v>3513</x:v>
      </x:c>
      <x:c r="B114" s="5" t="n">
        <x:v>44</x:v>
      </x:c>
      <x:c r="C114" s="5" t="n">
        <x:v>36</x:v>
      </x:c>
      <x:c r="D114" s="5" t="str">
        <x:v>TLS-13-EXT-03; TLS-13-EXT-04; TLS-13-EXT-05; TLS-OPT-SNI13</x:v>
      </x:c>
      <x:c r="E114" s="5" t="n">
        <x:v>7</x:v>
      </x:c>
      <x:c r="F114" s="5" t="str">
        <x:v>OCR extracted; requirement/table mapping reviewed</x:v>
      </x:c>
      <x:c r="G114" s="5" t="str">
        <x:v>Normativa/EN IEC 62351-3-2023.pdf</x:v>
      </x:c>
    </x:row>
    <x:row r="115" ht="38" customHeight="1">
      <x:c r="A115" s="5" t="str">
        <x:v>3513</x:v>
      </x:c>
      <x:c r="B115" s="5" t="n">
        <x:v>45</x:v>
      </x:c>
      <x:c r="C115" s="5" t="n">
        <x:v>37</x:v>
      </x:c>
      <x:c r="D115" s="5" t="str">
        <x:v>TLS-13-EXT-06; TLS-13-EXT-07; TLS-13-EXT-08; TLS-OPT-CA13</x:v>
      </x:c>
      <x:c r="E115" s="5" t="n">
        <x:v>7</x:v>
      </x:c>
      <x:c r="F115" s="5" t="str">
        <x:v>OCR extracted; requirement/table mapping reviewed</x:v>
      </x:c>
      <x:c r="G115" s="5" t="str">
        <x:v>Normativa/EN IEC 62351-3-2023.pdf</x:v>
      </x:c>
    </x:row>
    <x:row r="116" ht="38" customHeight="1">
      <x:c r="A116" s="5" t="str">
        <x:v>3513</x:v>
      </x:c>
      <x:c r="B116" s="5" t="n">
        <x:v>46</x:v>
      </x:c>
      <x:c r="C116" s="5" t="n">
        <x:v>38</x:v>
      </x:c>
      <x:c r="D116" s="5" t="str">
        <x:v>TLS-13-HS-02; TLS-PIN-01; TLS-CONF-01</x:v>
      </x:c>
      <x:c r="E116" s="5" t="n">
        <x:v>9</x:v>
      </x:c>
      <x:c r="F116" s="5" t="str">
        <x:v>OCR extracted; requirement/table mapping reviewed</x:v>
      </x:c>
      <x:c r="G116" s="5" t="str">
        <x:v>Normativa/EN IEC 62351-3-2023.pdf</x:v>
      </x:c>
    </x:row>
    <x:row r="117" ht="38" customHeight="1">
      <x:c r="A117" s="5" t="str">
        <x:v>3513</x:v>
      </x:c>
      <x:c r="B117" s="5" t="n">
        <x:v>47</x:v>
      </x:c>
      <x:c r="C117" s="5" t="n">
        <x:v>39</x:v>
      </x:c>
      <x:c r="D117" s="5" t="str">
        <x:v>TLS-REV-04; TLS-REV-05; TLS-CONF-01</x:v>
      </x:c>
      <x:c r="E117" s="5" t="n">
        <x:v>1</x:v>
      </x:c>
      <x:c r="F117" s="5" t="str">
        <x:v>OCR extracted; requirement/table mapping reviewed</x:v>
      </x:c>
      <x:c r="G117" s="5" t="str">
        <x:v>Normativa/EN IEC 62351-3-2023.pdf</x:v>
      </x:c>
    </x:row>
    <x:row r="118" ht="38" customHeight="1">
      <x:c r="A118" s="5" t="str">
        <x:v>3513</x:v>
      </x:c>
      <x:c r="B118" s="5" t="n">
        <x:v>48</x:v>
      </x:c>
      <x:c r="C118" s="5" t="n">
        <x:v>40</x:v>
      </x:c>
      <x:c r="D118" s="5" t="str">
        <x:v>TLS-12-DISALLOWED; TLS-12-ALG-01; TLS-CONF-01; TLS-12-SUITE-0x003B; TLS-12-SUITE-0x003C; TLS-12-SUITE-0x009E; TLS-12-SUITE-0x009F; TLS-12-SUITE-0xC02F; TLS-12-SUITE-0xC030; TLS-12-SUITE-0xC02B; TLS-12-SUITE-0xC02C</x:v>
      </x:c>
      <x:c r="E118" s="5" t="n">
        <x:v>1</x:v>
      </x:c>
      <x:c r="F118" s="5" t="str">
        <x:v>OCR extracted; requirement/table mapping reviewed</x:v>
      </x:c>
      <x:c r="G118" s="5" t="str">
        <x:v>Normativa/EN IEC 62351-3-2023.pdf</x:v>
      </x:c>
    </x:row>
    <x:row r="119" ht="38" customHeight="1">
      <x:c r="A119" s="5" t="str">
        <x:v>3513</x:v>
      </x:c>
      <x:c r="B119" s="5" t="n">
        <x:v>49</x:v>
      </x:c>
      <x:c r="C119" s="5" t="n">
        <x:v>41</x:v>
      </x:c>
      <x:c r="D119" s="5" t="str">
        <x:v>TLS-12-EXT-04; TLS-CONF-01</x:v>
      </x:c>
      <x:c r="E119" s="5" t="n">
        <x:v>0</x:v>
      </x:c>
      <x:c r="F119" s="5" t="str">
        <x:v>OCR extracted; requirement/table mapping reviewed</x:v>
      </x:c>
      <x:c r="G119" s="5" t="str">
        <x:v>Normativa/EN IEC 62351-3-2023.pdf</x:v>
      </x:c>
    </x:row>
    <x:row r="120" ht="38" customHeight="1">
      <x:c r="A120" s="5" t="str">
        <x:v>3513</x:v>
      </x:c>
      <x:c r="B120" s="5" t="n">
        <x:v>50</x:v>
      </x:c>
      <x:c r="C120" s="5" t="n">
        <x:v>42</x:v>
      </x:c>
      <x:c r="D120" s="5" t="str">
        <x:v>TLS-CONF-01; TLS-13-SUITE-0x1301; TLS-13-SUITE-0x1302; TLS-13-SUITE-0x1303; TLS-13-SUITE-0x1304; TLS-13-SUITE-0x1305; TLS-13-SUITE-0xC0B4; TLS-13-SUITE-0xC0B5</x:v>
      </x:c>
      <x:c r="E120" s="5" t="n">
        <x:v>1</x:v>
      </x:c>
      <x:c r="F120" s="5" t="str">
        <x:v>OCR extracted; requirement/table mapping reviewed</x:v>
      </x:c>
      <x:c r="G120" s="5" t="str">
        <x:v>Normativa/EN IEC 62351-3-2023.pdf</x:v>
      </x:c>
    </x:row>
    <x:row r="121" ht="38" customHeight="1">
      <x:c r="A121" s="5" t="str">
        <x:v>3513</x:v>
      </x:c>
      <x:c r="B121" s="5" t="n">
        <x:v>51</x:v>
      </x:c>
      <x:c r="C121" s="5" t="n">
        <x:v>43</x:v>
      </x:c>
      <x:c r="D121" s="5" t="str">
        <x:v>TLS-CONF-01; TLS-13-GROUP-23; TLS-13-GROUP-24; TLS-13-GROUP-31; TLS-13-GROUP-32; TLS-13-GROUP-33; TLS-13-GROUP-256; TLS-13-GROUP-257; TLS-13-GROUP-258; TLS-13-handshake-0x0804; TLS-13-handshake-0x0805; TLS-13-handshake-0x0806; TLS-13-handshake-0x0809; TLS-13-handshake-0x080A; TLS-13-handshake-0x080B; TLS-13-handshake-0x0403; TLS-13-handshake-0x0503; TLS-13-handshake-0x081A; TLS-13-handshake-0x081B; TLS-13-handshake-0x081C</x:v>
      </x:c>
      <x:c r="E121" s="5" t="n">
        <x:v>0</x:v>
      </x:c>
      <x:c r="F121" s="5" t="str">
        <x:v>OCR extracted; requirement/table mapping reviewed</x:v>
      </x:c>
      <x:c r="G121" s="5" t="str">
        <x:v>Normativa/EN IEC 62351-3-2023.pdf</x:v>
      </x:c>
    </x:row>
    <x:row r="122" ht="38" customHeight="1">
      <x:c r="A122" s="5" t="str">
        <x:v>3513</x:v>
      </x:c>
      <x:c r="B122" s="5" t="n">
        <x:v>52</x:v>
      </x:c>
      <x:c r="C122" s="5" t="n">
        <x:v>44</x:v>
      </x:c>
      <x:c r="D122" s="5" t="str">
        <x:v>TLS-CONF-01; TLS-13-certificate-0x0401; TLS-13-certificate-0x0501; TLS-13-certificate-0x0601; TLS-13-certificate-0x0804; TLS-13-certificate-0x0805; TLS-13-certificate-0x0806; TLS-13-certificate-0x0809; TLS-13-certificate-0x080A; TLS-13-certificate-0x080B; TLS-13-certificate-0x0403; TLS-13-certificate-0x0503; TLS-13-certificate-0x081A; TLS-13-certificate-0x081B; TLS-13-certificate-0x081C</x:v>
      </x:c>
      <x:c r="E122" s="5" t="n">
        <x:v>0</x:v>
      </x:c>
      <x:c r="F122" s="5" t="str">
        <x:v>OCR extracted; requirement/table mapping reviewed</x:v>
      </x:c>
      <x:c r="G122" s="5" t="str">
        <x:v>Normativa/EN IEC 62351-3-2023.pdf</x:v>
      </x:c>
    </x:row>
    <x:row r="123" ht="38" customHeight="1">
      <x:c r="A123" s="5" t="str">
        <x:v>3513</x:v>
      </x:c>
      <x:c r="B123" s="5" t="n">
        <x:v>53</x:v>
      </x:c>
      <x:c r="C123" s="5" t="n">
        <x:v>45</x:v>
      </x:c>
      <x:c r="D123" s="5" t="str">
        <x:v>TLS-CONF-01</x:v>
      </x:c>
      <x:c r="E123" s="5" t="n">
        <x:v>0</x:v>
      </x:c>
      <x:c r="F123" s="5" t="str">
        <x:v>OCR extracted; requirement/table mapping reviewed</x:v>
      </x:c>
      <x:c r="G123" s="5" t="str">
        <x:v>Normativa/EN IEC 62351-3-2023.pdf</x:v>
      </x:c>
    </x:row>
  </x:sheetData>
  <x:pageMargins left="0.7" right="0.7" top="0.75" bottom="0.75" header="0.3" footer="0.3"/>
  <x:tableParts count="1">
    <x:tablePart xmlns:r="http://schemas.openxmlformats.org/officeDocument/2006/relationships" r:id="Raf9ad4ca04c648e7"/>
  </x:tableParts>
</x:worksheet>
</file>